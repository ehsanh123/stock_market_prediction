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hsan\Documents\Disertation\Word - June to\stock-market\Part5-LLms\"/>
    </mc:Choice>
  </mc:AlternateContent>
  <xr:revisionPtr revIDLastSave="0" documentId="13_ncr:1_{10877311-24FD-4529-B8E3-4D0EA494F873}" xr6:coauthVersionLast="47" xr6:coauthVersionMax="47" xr10:uidLastSave="{00000000-0000-0000-0000-000000000000}"/>
  <bookViews>
    <workbookView xWindow="780" yWindow="720" windowWidth="12780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1" l="1"/>
  <c r="K22" i="1"/>
  <c r="G22" i="1"/>
  <c r="D22" i="1"/>
  <c r="M21" i="1"/>
  <c r="K21" i="1"/>
  <c r="G21" i="1"/>
  <c r="D21" i="1"/>
  <c r="M20" i="1"/>
  <c r="K20" i="1"/>
  <c r="G20" i="1"/>
  <c r="D20" i="1"/>
  <c r="M19" i="1"/>
  <c r="K19" i="1"/>
  <c r="G19" i="1"/>
  <c r="D19" i="1"/>
  <c r="M18" i="1"/>
  <c r="K18" i="1"/>
  <c r="G18" i="1"/>
  <c r="D18" i="1"/>
  <c r="M17" i="1"/>
  <c r="K17" i="1"/>
  <c r="G17" i="1"/>
  <c r="D17" i="1"/>
  <c r="M16" i="1"/>
  <c r="K16" i="1"/>
  <c r="G16" i="1"/>
  <c r="D16" i="1"/>
  <c r="M15" i="1"/>
  <c r="K15" i="1"/>
  <c r="G15" i="1"/>
  <c r="D15" i="1"/>
  <c r="M14" i="1"/>
  <c r="K14" i="1"/>
  <c r="G14" i="1"/>
  <c r="D14" i="1"/>
  <c r="M13" i="1"/>
  <c r="K13" i="1"/>
  <c r="G13" i="1"/>
  <c r="D13" i="1"/>
  <c r="M12" i="1"/>
  <c r="K12" i="1"/>
  <c r="G12" i="1"/>
  <c r="D12" i="1"/>
  <c r="M11" i="1"/>
  <c r="K11" i="1"/>
  <c r="G11" i="1"/>
  <c r="D11" i="1"/>
  <c r="M10" i="1"/>
  <c r="K10" i="1"/>
  <c r="G10" i="1"/>
  <c r="D10" i="1"/>
  <c r="M9" i="1"/>
  <c r="K9" i="1"/>
  <c r="G9" i="1"/>
  <c r="D9" i="1"/>
  <c r="M8" i="1"/>
  <c r="K8" i="1"/>
  <c r="G8" i="1"/>
  <c r="D8" i="1"/>
  <c r="M7" i="1"/>
  <c r="K7" i="1"/>
  <c r="G7" i="1"/>
  <c r="D7" i="1"/>
  <c r="M6" i="1"/>
  <c r="K6" i="1"/>
  <c r="G6" i="1"/>
  <c r="D6" i="1"/>
  <c r="M5" i="1"/>
  <c r="K5" i="1"/>
  <c r="G5" i="1"/>
  <c r="D5" i="1"/>
  <c r="M4" i="1"/>
  <c r="K4" i="1"/>
  <c r="G4" i="1"/>
  <c r="D4" i="1"/>
  <c r="M3" i="1"/>
  <c r="K3" i="1"/>
  <c r="G3" i="1"/>
  <c r="D3" i="1"/>
  <c r="M2" i="1"/>
  <c r="K2" i="1"/>
  <c r="G2" i="1"/>
  <c r="D2" i="1"/>
</calcChain>
</file>

<file path=xl/sharedStrings.xml><?xml version="1.0" encoding="utf-8"?>
<sst xmlns="http://schemas.openxmlformats.org/spreadsheetml/2006/main" count="17" uniqueCount="17">
  <si>
    <t>Year</t>
  </si>
  <si>
    <t>Revenue</t>
  </si>
  <si>
    <t>Operating Profit</t>
  </si>
  <si>
    <t>Operating Margin (%)</t>
  </si>
  <si>
    <t xml:space="preserve">Profit Before Tax </t>
  </si>
  <si>
    <t>Profit After Tax</t>
  </si>
  <si>
    <t>Profit Margin (%)</t>
  </si>
  <si>
    <t>Basic ESP</t>
  </si>
  <si>
    <t>Total Equity</t>
  </si>
  <si>
    <t>Net Cash</t>
  </si>
  <si>
    <t>Debt-to-Equity(%)</t>
  </si>
  <si>
    <t>Interim Dividend</t>
  </si>
  <si>
    <t>Free Cash Flow</t>
  </si>
  <si>
    <t>Avg Close Price</t>
  </si>
  <si>
    <t>Net From Oprating</t>
  </si>
  <si>
    <t>CapEx</t>
  </si>
  <si>
    <t>CEO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</si>
</sst>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,,&quot; M&quot;;\-#,##0.0,,&quot; M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B6" sqref="B6"/>
    </sheetView>
  </sheetViews>
  <sheetFormatPr defaultRowHeight="15" x14ac:dyDescent="0.25"/>
  <cols>
    <col min="2" max="2" width="11.7109375" customWidth="1"/>
    <col min="3" max="3" width="15.42578125" bestFit="1" customWidth="1"/>
  </cols>
  <sheetData>
    <row r="1" spans="1: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>
        <v>2015</v>
      </c>
      <c r="B2" s="5">
        <v>10966000000</v>
      </c>
      <c r="C2" s="6">
        <v>698000000</v>
      </c>
      <c r="D2" s="4">
        <f t="shared" ref="D2:D22" si="0">ROUND(C2/B2*100,2)</f>
        <v>6.37</v>
      </c>
      <c r="E2" s="6">
        <v>644000000</v>
      </c>
      <c r="F2" s="6">
        <v>573000000</v>
      </c>
      <c r="G2" s="4">
        <f t="shared" ref="G2:G22" si="1">ROUND(F2/B2*100,2)</f>
        <v>5.23</v>
      </c>
      <c r="H2" s="4">
        <v>24.3</v>
      </c>
      <c r="I2" s="6">
        <v>6239000000</v>
      </c>
      <c r="J2" s="6">
        <v>470000000</v>
      </c>
      <c r="K2" s="4">
        <f t="shared" ref="K2:K22" si="2">ROUND(J2/I2*100,2)</f>
        <v>7.53</v>
      </c>
      <c r="L2" s="4">
        <v>10</v>
      </c>
      <c r="M2" s="4">
        <f t="shared" ref="M2:M22" si="3">O2-P2</f>
        <v>609</v>
      </c>
      <c r="N2" s="4">
        <v>307</v>
      </c>
      <c r="O2" s="4">
        <v>660</v>
      </c>
      <c r="P2" s="4">
        <v>51</v>
      </c>
      <c r="Q2" s="4">
        <v>0</v>
      </c>
    </row>
    <row r="3" spans="1:17" x14ac:dyDescent="0.25">
      <c r="A3" s="4">
        <v>2016</v>
      </c>
      <c r="B3" s="5">
        <v>10331000000</v>
      </c>
      <c r="C3" s="6">
        <v>526000000</v>
      </c>
      <c r="D3" s="4">
        <f t="shared" si="0"/>
        <v>5.09</v>
      </c>
      <c r="E3" s="6">
        <v>512000000</v>
      </c>
      <c r="F3" s="6">
        <v>412000000</v>
      </c>
      <c r="G3" s="4">
        <f t="shared" si="1"/>
        <v>3.99</v>
      </c>
      <c r="H3" s="4">
        <v>17.8</v>
      </c>
      <c r="I3" s="6">
        <v>6186000000</v>
      </c>
      <c r="J3" s="6">
        <v>654000000</v>
      </c>
      <c r="K3" s="4">
        <f t="shared" si="2"/>
        <v>10.57</v>
      </c>
      <c r="L3" s="4">
        <v>10.1</v>
      </c>
      <c r="M3" s="4">
        <f t="shared" si="3"/>
        <v>599</v>
      </c>
      <c r="N3" s="4">
        <v>351.7</v>
      </c>
      <c r="O3" s="4">
        <v>813</v>
      </c>
      <c r="P3" s="4">
        <v>214</v>
      </c>
      <c r="Q3" s="4">
        <v>0</v>
      </c>
    </row>
    <row r="4" spans="1:17" x14ac:dyDescent="0.25">
      <c r="A4" s="4">
        <v>2017</v>
      </c>
      <c r="B4" s="5">
        <v>11225000000</v>
      </c>
      <c r="C4" s="6">
        <v>773000000</v>
      </c>
      <c r="D4" s="4">
        <f t="shared" si="0"/>
        <v>6.89</v>
      </c>
      <c r="E4" s="6">
        <v>759000000</v>
      </c>
      <c r="F4" s="6">
        <v>610000000</v>
      </c>
      <c r="G4" s="4">
        <f t="shared" si="1"/>
        <v>5.43</v>
      </c>
      <c r="H4" s="4">
        <v>27.1</v>
      </c>
      <c r="I4" s="6">
        <v>6771000000</v>
      </c>
      <c r="J4" s="6">
        <v>795000000</v>
      </c>
      <c r="K4" s="4">
        <f t="shared" si="2"/>
        <v>11.74</v>
      </c>
      <c r="L4" s="4">
        <v>10.4</v>
      </c>
      <c r="M4" s="4">
        <f t="shared" si="3"/>
        <v>533</v>
      </c>
      <c r="N4" s="4">
        <v>354.1</v>
      </c>
      <c r="O4" s="4">
        <v>781</v>
      </c>
      <c r="P4" s="4">
        <v>248</v>
      </c>
      <c r="Q4" s="4">
        <v>0</v>
      </c>
    </row>
    <row r="5" spans="1:17" x14ac:dyDescent="0.25">
      <c r="A5" s="4">
        <v>2018</v>
      </c>
      <c r="B5" s="5">
        <v>11655000000</v>
      </c>
      <c r="C5" s="6">
        <v>685000000</v>
      </c>
      <c r="D5" s="4">
        <f t="shared" si="0"/>
        <v>5.88</v>
      </c>
      <c r="E5" s="6">
        <v>682000000</v>
      </c>
      <c r="F5" s="6">
        <v>485000000</v>
      </c>
      <c r="G5" s="4">
        <f t="shared" si="1"/>
        <v>4.16</v>
      </c>
      <c r="H5" s="4">
        <v>22.1</v>
      </c>
      <c r="I5" s="6">
        <v>6748000000</v>
      </c>
      <c r="J5" s="6">
        <v>230000000</v>
      </c>
      <c r="K5" s="4">
        <f t="shared" si="2"/>
        <v>3.41</v>
      </c>
      <c r="L5" s="4">
        <v>10.8</v>
      </c>
      <c r="M5" s="4">
        <f t="shared" si="3"/>
        <v>-75</v>
      </c>
      <c r="N5" s="4">
        <v>307.5</v>
      </c>
      <c r="O5" s="4">
        <v>293</v>
      </c>
      <c r="P5" s="4">
        <v>368</v>
      </c>
      <c r="Q5" s="4">
        <v>0</v>
      </c>
    </row>
    <row r="6" spans="1:17" x14ac:dyDescent="0.25">
      <c r="A6" s="4">
        <v>2019</v>
      </c>
      <c r="B6" s="5">
        <v>11685000000</v>
      </c>
      <c r="C6" s="6">
        <v>329000000</v>
      </c>
      <c r="D6" s="4">
        <f t="shared" si="0"/>
        <v>2.82</v>
      </c>
      <c r="E6" s="6">
        <v>322000000</v>
      </c>
      <c r="F6" s="6">
        <v>218000000</v>
      </c>
      <c r="G6" s="4">
        <f t="shared" si="1"/>
        <v>1.87</v>
      </c>
      <c r="H6" s="4">
        <v>10.3</v>
      </c>
      <c r="I6" s="6">
        <v>6657000000</v>
      </c>
      <c r="J6" s="6">
        <v>229000000</v>
      </c>
      <c r="K6" s="4">
        <f t="shared" si="2"/>
        <v>3.44</v>
      </c>
      <c r="L6" s="4">
        <v>10.8</v>
      </c>
      <c r="M6" s="4">
        <f t="shared" si="3"/>
        <v>371</v>
      </c>
      <c r="N6" s="4">
        <v>262.56</v>
      </c>
      <c r="O6" s="4">
        <v>649</v>
      </c>
      <c r="P6" s="4">
        <v>278</v>
      </c>
      <c r="Q6" s="4">
        <v>0</v>
      </c>
    </row>
    <row r="7" spans="1:17" x14ac:dyDescent="0.25">
      <c r="A7" s="4">
        <v>2020</v>
      </c>
      <c r="B7" s="5">
        <v>11513000000</v>
      </c>
      <c r="C7" s="6">
        <v>283000000</v>
      </c>
      <c r="D7" s="4">
        <f t="shared" si="0"/>
        <v>2.46</v>
      </c>
      <c r="E7" s="6">
        <v>103000000</v>
      </c>
      <c r="F7" s="6">
        <v>8000000</v>
      </c>
      <c r="G7" s="4">
        <f t="shared" si="1"/>
        <v>7.0000000000000007E-2</v>
      </c>
      <c r="H7" s="4">
        <v>0.4</v>
      </c>
      <c r="I7" s="6">
        <v>5802000000</v>
      </c>
      <c r="J7" s="6">
        <v>195000000</v>
      </c>
      <c r="K7" s="4">
        <f t="shared" si="2"/>
        <v>3.36</v>
      </c>
      <c r="L7" s="4">
        <v>3.33</v>
      </c>
      <c r="M7" s="4">
        <f t="shared" si="3"/>
        <v>759</v>
      </c>
      <c r="N7" s="4">
        <v>208.81</v>
      </c>
      <c r="O7" s="4">
        <v>897</v>
      </c>
      <c r="P7" s="4">
        <v>138</v>
      </c>
      <c r="Q7" s="4">
        <v>0</v>
      </c>
    </row>
    <row r="8" spans="1:17" x14ac:dyDescent="0.25">
      <c r="A8" s="4">
        <v>2021</v>
      </c>
      <c r="B8" s="5">
        <v>12343000000</v>
      </c>
      <c r="C8" s="6">
        <v>916000000</v>
      </c>
      <c r="D8" s="4">
        <f t="shared" si="0"/>
        <v>7.42</v>
      </c>
      <c r="E8" s="6">
        <v>756000000</v>
      </c>
      <c r="F8" s="6">
        <v>592000000</v>
      </c>
      <c r="G8" s="4">
        <f t="shared" si="1"/>
        <v>4.8</v>
      </c>
      <c r="H8" s="4">
        <v>28.1</v>
      </c>
      <c r="I8" s="6">
        <v>6571000000</v>
      </c>
      <c r="J8" s="6">
        <v>1136000000</v>
      </c>
      <c r="K8" s="4">
        <f t="shared" si="2"/>
        <v>17.29</v>
      </c>
      <c r="L8" s="4">
        <v>8.25</v>
      </c>
      <c r="M8" s="4">
        <f t="shared" si="3"/>
        <v>1443</v>
      </c>
      <c r="N8" s="4">
        <v>273.52</v>
      </c>
      <c r="O8" s="4">
        <v>1650</v>
      </c>
      <c r="P8" s="4">
        <v>207</v>
      </c>
      <c r="Q8" s="4">
        <v>0</v>
      </c>
    </row>
    <row r="9" spans="1:17" x14ac:dyDescent="0.25">
      <c r="A9" s="4">
        <v>2022</v>
      </c>
      <c r="B9" s="5">
        <v>13183000000</v>
      </c>
      <c r="C9" s="6">
        <v>1144000000</v>
      </c>
      <c r="D9" s="4">
        <f t="shared" si="0"/>
        <v>8.68</v>
      </c>
      <c r="E9" s="6">
        <v>1007000000</v>
      </c>
      <c r="F9" s="6">
        <v>843000000</v>
      </c>
      <c r="G9" s="4">
        <f t="shared" si="1"/>
        <v>6.39</v>
      </c>
      <c r="H9" s="4">
        <v>40.299999999999997</v>
      </c>
      <c r="I9" s="6">
        <v>6778000000</v>
      </c>
      <c r="J9" s="6">
        <v>809000000</v>
      </c>
      <c r="K9" s="4">
        <f t="shared" si="2"/>
        <v>11.94</v>
      </c>
      <c r="L9" s="4">
        <v>12.4</v>
      </c>
      <c r="M9" s="4">
        <f t="shared" si="3"/>
        <v>793</v>
      </c>
      <c r="N9" s="4">
        <v>346.89</v>
      </c>
      <c r="O9" s="4">
        <v>1178</v>
      </c>
      <c r="P9" s="4">
        <v>385</v>
      </c>
      <c r="Q9" s="4">
        <v>0</v>
      </c>
    </row>
    <row r="10" spans="1:17" x14ac:dyDescent="0.25">
      <c r="A10" s="4">
        <v>2023</v>
      </c>
      <c r="B10" s="5">
        <v>13059000000</v>
      </c>
      <c r="C10" s="6">
        <v>723000000</v>
      </c>
      <c r="D10" s="4">
        <f t="shared" si="0"/>
        <v>5.54</v>
      </c>
      <c r="E10" s="6">
        <v>611000000</v>
      </c>
      <c r="F10" s="6">
        <v>471000000</v>
      </c>
      <c r="G10" s="4">
        <f t="shared" si="1"/>
        <v>3.61</v>
      </c>
      <c r="H10" s="4">
        <v>23.8</v>
      </c>
      <c r="I10" s="6">
        <v>6663000000</v>
      </c>
      <c r="J10" s="6">
        <v>270000000</v>
      </c>
      <c r="K10" s="4">
        <f t="shared" si="2"/>
        <v>4.05</v>
      </c>
      <c r="L10" s="4">
        <v>12.4</v>
      </c>
      <c r="M10" s="4">
        <f t="shared" si="3"/>
        <v>388</v>
      </c>
      <c r="N10" s="4">
        <v>237.21</v>
      </c>
      <c r="O10" s="4">
        <v>820</v>
      </c>
      <c r="P10" s="4">
        <v>432</v>
      </c>
      <c r="Q10" s="4">
        <v>0</v>
      </c>
    </row>
    <row r="11" spans="1:17" x14ac:dyDescent="0.25">
      <c r="A11" s="4">
        <v>2024</v>
      </c>
      <c r="B11" s="5">
        <v>12784000000</v>
      </c>
      <c r="C11" s="6">
        <v>580000000</v>
      </c>
      <c r="D11" s="4">
        <f t="shared" si="0"/>
        <v>4.54</v>
      </c>
      <c r="E11" s="6">
        <v>475000000</v>
      </c>
      <c r="F11" s="6">
        <v>345000000</v>
      </c>
      <c r="G11" s="4">
        <f t="shared" si="1"/>
        <v>2.7</v>
      </c>
      <c r="H11" s="4">
        <v>18.2</v>
      </c>
      <c r="I11" s="6">
        <v>6604000000</v>
      </c>
      <c r="J11" s="6">
        <v>353000000</v>
      </c>
      <c r="K11" s="4">
        <f t="shared" si="2"/>
        <v>5.35</v>
      </c>
      <c r="L11" s="4">
        <v>12.4</v>
      </c>
      <c r="M11" s="4">
        <f t="shared" si="3"/>
        <v>982</v>
      </c>
      <c r="N11" s="4">
        <v>227.22</v>
      </c>
      <c r="O11" s="4">
        <v>1321</v>
      </c>
      <c r="P11" s="4">
        <v>339</v>
      </c>
      <c r="Q11" s="4">
        <v>0</v>
      </c>
    </row>
    <row r="12" spans="1:17" x14ac:dyDescent="0.25">
      <c r="A12" s="4">
        <v>2025</v>
      </c>
      <c r="B12" s="5">
        <v>12980000000</v>
      </c>
      <c r="C12" s="6">
        <v>407000000</v>
      </c>
      <c r="D12" s="4">
        <f t="shared" si="0"/>
        <v>3.14</v>
      </c>
      <c r="E12" s="6">
        <v>307000000</v>
      </c>
      <c r="F12" s="6">
        <v>185000000</v>
      </c>
      <c r="G12" s="4">
        <f t="shared" si="1"/>
        <v>1.43</v>
      </c>
      <c r="H12" s="4">
        <v>10.11</v>
      </c>
      <c r="I12" s="6">
        <v>6344000000</v>
      </c>
      <c r="J12" s="6">
        <v>336000000</v>
      </c>
      <c r="K12" s="4">
        <f t="shared" si="2"/>
        <v>5.3</v>
      </c>
      <c r="L12" s="4">
        <v>12.4</v>
      </c>
      <c r="M12" s="4">
        <f t="shared" si="3"/>
        <v>986</v>
      </c>
      <c r="N12" s="4">
        <v>283.33999999999997</v>
      </c>
      <c r="O12" s="4">
        <v>1302</v>
      </c>
      <c r="P12" s="4">
        <v>316</v>
      </c>
      <c r="Q12" s="4">
        <v>0</v>
      </c>
    </row>
    <row r="13" spans="1:17" x14ac:dyDescent="0.25">
      <c r="A13" s="4">
        <v>2015.5</v>
      </c>
      <c r="B13" s="5">
        <v>5492000000</v>
      </c>
      <c r="C13" s="6">
        <v>394000000</v>
      </c>
      <c r="D13" s="4">
        <f t="shared" si="0"/>
        <v>7.17</v>
      </c>
      <c r="E13" s="6">
        <v>386000000</v>
      </c>
      <c r="F13" s="6">
        <v>318000000</v>
      </c>
      <c r="G13" s="4">
        <f t="shared" si="1"/>
        <v>5.79</v>
      </c>
      <c r="H13" s="4">
        <v>13.6</v>
      </c>
      <c r="I13" s="6">
        <v>6031000000</v>
      </c>
      <c r="J13" s="6">
        <v>494000000</v>
      </c>
      <c r="K13" s="4">
        <f t="shared" si="2"/>
        <v>8.19</v>
      </c>
      <c r="L13" s="4">
        <v>3.18</v>
      </c>
      <c r="M13" s="4">
        <f t="shared" si="3"/>
        <v>314</v>
      </c>
      <c r="N13" s="4">
        <v>353.57</v>
      </c>
      <c r="O13" s="4">
        <v>446</v>
      </c>
      <c r="P13" s="4">
        <v>132</v>
      </c>
      <c r="Q13" s="4">
        <v>1</v>
      </c>
    </row>
    <row r="14" spans="1:17" x14ac:dyDescent="0.25">
      <c r="A14" s="4">
        <v>2016.5</v>
      </c>
      <c r="B14" s="5">
        <v>5749000000</v>
      </c>
      <c r="C14" s="6">
        <v>439000000</v>
      </c>
      <c r="D14" s="4">
        <f t="shared" si="0"/>
        <v>7.64</v>
      </c>
      <c r="E14" s="6">
        <v>427000000</v>
      </c>
      <c r="F14" s="6">
        <v>321000000</v>
      </c>
      <c r="G14" s="4">
        <f t="shared" si="1"/>
        <v>5.58</v>
      </c>
      <c r="H14" s="4">
        <v>14.1</v>
      </c>
      <c r="I14" s="6">
        <v>6505000000</v>
      </c>
      <c r="J14" s="6">
        <v>1017000000</v>
      </c>
      <c r="K14" s="4">
        <f t="shared" si="2"/>
        <v>15.63</v>
      </c>
      <c r="L14" s="4">
        <v>3.25</v>
      </c>
      <c r="M14" s="4">
        <f t="shared" si="3"/>
        <v>514</v>
      </c>
      <c r="N14" s="4">
        <v>348.09</v>
      </c>
      <c r="O14" s="4">
        <v>634</v>
      </c>
      <c r="P14" s="4">
        <v>120</v>
      </c>
      <c r="Q14" s="4">
        <v>0</v>
      </c>
    </row>
    <row r="15" spans="1:17" x14ac:dyDescent="0.25">
      <c r="A15" s="4">
        <v>2017.5</v>
      </c>
      <c r="B15" s="5">
        <v>6008000000</v>
      </c>
      <c r="C15" s="6">
        <v>401000000</v>
      </c>
      <c r="D15" s="4">
        <f t="shared" si="0"/>
        <v>6.67</v>
      </c>
      <c r="E15" s="6">
        <v>402000000</v>
      </c>
      <c r="F15" s="6">
        <v>295000000</v>
      </c>
      <c r="G15" s="4">
        <f t="shared" si="1"/>
        <v>4.91</v>
      </c>
      <c r="H15" s="4">
        <v>13.3</v>
      </c>
      <c r="I15" s="6">
        <v>6840000000</v>
      </c>
      <c r="J15" s="6">
        <v>768000000</v>
      </c>
      <c r="K15" s="4">
        <f t="shared" si="2"/>
        <v>11.23</v>
      </c>
      <c r="L15" s="4">
        <v>3.33</v>
      </c>
      <c r="M15" s="4">
        <f t="shared" si="3"/>
        <v>276</v>
      </c>
      <c r="N15" s="4">
        <v>330.05</v>
      </c>
      <c r="O15" s="4">
        <v>398</v>
      </c>
      <c r="P15" s="4">
        <v>122</v>
      </c>
      <c r="Q15" s="4">
        <v>0</v>
      </c>
    </row>
    <row r="16" spans="1:17" x14ac:dyDescent="0.25">
      <c r="A16" s="4">
        <v>2018.5</v>
      </c>
      <c r="B16" s="5">
        <v>6080000000</v>
      </c>
      <c r="C16" s="6">
        <v>36900000</v>
      </c>
      <c r="D16" s="4">
        <f t="shared" si="0"/>
        <v>0.61</v>
      </c>
      <c r="E16" s="6">
        <v>280000000</v>
      </c>
      <c r="F16" s="6">
        <v>206000000</v>
      </c>
      <c r="G16" s="4">
        <f t="shared" si="1"/>
        <v>3.39</v>
      </c>
      <c r="H16" s="4">
        <v>9.6</v>
      </c>
      <c r="I16" s="6">
        <v>6149000000</v>
      </c>
      <c r="J16" s="6">
        <v>181000000</v>
      </c>
      <c r="K16" s="4">
        <f t="shared" si="2"/>
        <v>2.94</v>
      </c>
      <c r="L16" s="4">
        <v>3.33</v>
      </c>
      <c r="M16" s="4">
        <f t="shared" si="3"/>
        <v>492</v>
      </c>
      <c r="N16" s="4">
        <v>320.55</v>
      </c>
      <c r="O16" s="4">
        <v>639</v>
      </c>
      <c r="P16" s="4">
        <v>147</v>
      </c>
      <c r="Q16" s="4">
        <v>0</v>
      </c>
    </row>
    <row r="17" spans="1:17" x14ac:dyDescent="0.25">
      <c r="A17" s="4">
        <v>2019.5</v>
      </c>
      <c r="B17" s="5">
        <v>5997000000</v>
      </c>
      <c r="C17" s="6">
        <v>328000000</v>
      </c>
      <c r="D17" s="4">
        <f t="shared" si="0"/>
        <v>5.47</v>
      </c>
      <c r="E17" s="6">
        <v>245000000</v>
      </c>
      <c r="F17" s="6">
        <v>171000000</v>
      </c>
      <c r="G17" s="4">
        <f t="shared" si="1"/>
        <v>2.85</v>
      </c>
      <c r="H17" s="4">
        <v>8.1</v>
      </c>
      <c r="I17" s="6">
        <v>6378000000</v>
      </c>
      <c r="J17" s="6">
        <v>385000000</v>
      </c>
      <c r="K17" s="4">
        <f t="shared" si="2"/>
        <v>6.04</v>
      </c>
      <c r="L17" s="4">
        <v>3.33</v>
      </c>
      <c r="M17" s="4">
        <f t="shared" si="3"/>
        <v>552</v>
      </c>
      <c r="N17" s="4">
        <v>231.12</v>
      </c>
      <c r="O17" s="4">
        <v>579</v>
      </c>
      <c r="P17" s="4">
        <v>27</v>
      </c>
      <c r="Q17" s="4">
        <v>0</v>
      </c>
    </row>
    <row r="18" spans="1:17" x14ac:dyDescent="0.25">
      <c r="A18" s="4">
        <v>2020.5</v>
      </c>
      <c r="B18" s="5">
        <v>5921000000</v>
      </c>
      <c r="C18" s="6">
        <v>486000000</v>
      </c>
      <c r="D18" s="4">
        <f t="shared" si="0"/>
        <v>8.2100000000000009</v>
      </c>
      <c r="E18" s="6">
        <v>398000000</v>
      </c>
      <c r="F18" s="6">
        <v>317000000</v>
      </c>
      <c r="G18" s="4">
        <f t="shared" si="1"/>
        <v>5.35</v>
      </c>
      <c r="H18" s="4">
        <v>15.1</v>
      </c>
      <c r="I18" s="6">
        <v>6442000000</v>
      </c>
      <c r="J18" s="6">
        <v>1764000000</v>
      </c>
      <c r="K18" s="4">
        <f t="shared" si="2"/>
        <v>27.38</v>
      </c>
      <c r="L18" s="4">
        <v>2.75</v>
      </c>
      <c r="M18" s="4">
        <f t="shared" si="3"/>
        <v>1254</v>
      </c>
      <c r="N18" s="4">
        <v>183.71</v>
      </c>
      <c r="O18" s="4">
        <v>1332</v>
      </c>
      <c r="P18" s="4">
        <v>78</v>
      </c>
      <c r="Q18" s="4">
        <v>0</v>
      </c>
    </row>
    <row r="19" spans="1:17" x14ac:dyDescent="0.25">
      <c r="A19" s="4">
        <v>2021.5</v>
      </c>
      <c r="B19" s="5">
        <v>7101000000</v>
      </c>
      <c r="C19" s="6">
        <v>747000000</v>
      </c>
      <c r="D19" s="4">
        <f t="shared" si="0"/>
        <v>10.52</v>
      </c>
      <c r="E19" s="6">
        <v>677000000</v>
      </c>
      <c r="F19" s="6">
        <v>556000000</v>
      </c>
      <c r="G19" s="4">
        <f t="shared" si="1"/>
        <v>7.83</v>
      </c>
      <c r="H19" s="4">
        <v>26.4</v>
      </c>
      <c r="I19" s="6">
        <v>6811000000</v>
      </c>
      <c r="J19" s="6">
        <v>1516000000</v>
      </c>
      <c r="K19" s="4">
        <f t="shared" si="2"/>
        <v>22.26</v>
      </c>
      <c r="L19" s="4">
        <v>3.8</v>
      </c>
      <c r="M19" s="4">
        <f t="shared" si="3"/>
        <v>899</v>
      </c>
      <c r="N19" s="4">
        <v>319.12</v>
      </c>
      <c r="O19" s="4">
        <v>1019</v>
      </c>
      <c r="P19" s="4">
        <v>120</v>
      </c>
      <c r="Q19" s="4">
        <v>0</v>
      </c>
    </row>
    <row r="20" spans="1:17" x14ac:dyDescent="0.25">
      <c r="A20" s="4">
        <v>2022.5</v>
      </c>
      <c r="B20" s="5">
        <v>6809000000</v>
      </c>
      <c r="C20" s="6">
        <v>531000000</v>
      </c>
      <c r="D20" s="4">
        <f t="shared" si="0"/>
        <v>7.8</v>
      </c>
      <c r="E20" s="6">
        <v>474000000</v>
      </c>
      <c r="F20" s="6">
        <v>373000000</v>
      </c>
      <c r="G20" s="4">
        <f t="shared" si="1"/>
        <v>5.48</v>
      </c>
      <c r="H20" s="4">
        <v>18.600000000000001</v>
      </c>
      <c r="I20" s="6">
        <v>6771000000</v>
      </c>
      <c r="J20" s="6">
        <v>479000000</v>
      </c>
      <c r="K20" s="4">
        <f t="shared" si="2"/>
        <v>7.07</v>
      </c>
      <c r="L20" s="4">
        <v>3.8</v>
      </c>
      <c r="M20" s="4">
        <f t="shared" si="3"/>
        <v>297</v>
      </c>
      <c r="N20" s="4">
        <v>279.77999999999997</v>
      </c>
      <c r="O20" s="4">
        <v>475</v>
      </c>
      <c r="P20" s="4">
        <v>178</v>
      </c>
      <c r="Q20" s="4">
        <v>0</v>
      </c>
    </row>
    <row r="21" spans="1:17" x14ac:dyDescent="0.25">
      <c r="A21" s="4">
        <v>2023.5</v>
      </c>
      <c r="B21" s="5">
        <v>6880000000</v>
      </c>
      <c r="C21" s="6">
        <v>367000000</v>
      </c>
      <c r="D21" s="4">
        <f t="shared" si="0"/>
        <v>5.33</v>
      </c>
      <c r="E21" s="6">
        <v>317000000</v>
      </c>
      <c r="F21" s="6">
        <v>237000000</v>
      </c>
      <c r="G21" s="4">
        <f t="shared" si="1"/>
        <v>3.44</v>
      </c>
      <c r="H21" s="4">
        <v>12.4</v>
      </c>
      <c r="I21" s="6">
        <v>6588000000</v>
      </c>
      <c r="J21" s="6">
        <v>317000000</v>
      </c>
      <c r="K21" s="4">
        <f t="shared" si="2"/>
        <v>4.8099999999999996</v>
      </c>
      <c r="L21" s="4">
        <v>3.8</v>
      </c>
      <c r="M21" s="4">
        <f t="shared" si="3"/>
        <v>577</v>
      </c>
      <c r="N21" s="4">
        <v>257.89999999999998</v>
      </c>
      <c r="O21" s="4">
        <v>728</v>
      </c>
      <c r="P21" s="4">
        <v>151</v>
      </c>
      <c r="Q21" s="4">
        <v>0</v>
      </c>
    </row>
    <row r="22" spans="1:17" x14ac:dyDescent="0.25">
      <c r="A22" s="4">
        <v>2024.5</v>
      </c>
      <c r="B22" s="5">
        <v>6756000000</v>
      </c>
      <c r="C22" s="6">
        <v>374000000</v>
      </c>
      <c r="D22" s="4">
        <f t="shared" si="0"/>
        <v>5.54</v>
      </c>
      <c r="E22" s="6">
        <v>324000000</v>
      </c>
      <c r="F22" s="6">
        <v>237000000</v>
      </c>
      <c r="G22" s="4">
        <f t="shared" si="1"/>
        <v>3.51</v>
      </c>
      <c r="H22" s="4">
        <v>12.8</v>
      </c>
      <c r="I22" s="6">
        <v>6584000000</v>
      </c>
      <c r="J22" s="6">
        <v>472000000</v>
      </c>
      <c r="K22" s="4">
        <f t="shared" si="2"/>
        <v>7.17</v>
      </c>
      <c r="L22" s="4">
        <v>3.8</v>
      </c>
      <c r="M22" s="4">
        <f t="shared" si="3"/>
        <v>666</v>
      </c>
      <c r="N22" s="4">
        <v>239.59</v>
      </c>
      <c r="O22" s="4">
        <v>810</v>
      </c>
      <c r="P22" s="4">
        <v>144</v>
      </c>
      <c r="Q2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SeyedEhsan HosseinyNezhad</cp:lastModifiedBy>
  <dcterms:created xsi:type="dcterms:W3CDTF">2015-06-05T18:17:20Z</dcterms:created>
  <dcterms:modified xsi:type="dcterms:W3CDTF">2025-07-23T12:20:15Z</dcterms:modified>
</cp:coreProperties>
</file>