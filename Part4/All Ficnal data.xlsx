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hsan\Documents\Disertation\Word - June to\stock-market\Stocks5\"/>
    </mc:Choice>
  </mc:AlternateContent>
  <xr:revisionPtr revIDLastSave="0" documentId="13_ncr:1_{59D4AAA5-9AE4-4AF7-94A7-6DD9C27A4363}" xr6:coauthVersionLast="47" xr6:coauthVersionMax="47" xr10:uidLastSave="{00000000-0000-0000-0000-000000000000}"/>
  <bookViews>
    <workbookView xWindow="-120" yWindow="-120" windowWidth="29040" windowHeight="16440" activeTab="7" xr2:uid="{00000000-000D-0000-FFFF-FFFF00000000}"/>
  </bookViews>
  <sheets>
    <sheet name="Marks &amp; Spencer" sheetId="3" r:id="rId1"/>
    <sheet name="JD sports" sheetId="1" r:id="rId2"/>
    <sheet name="Associated British Foods" sheetId="8" r:id="rId3"/>
    <sheet name="Next" sheetId="4" r:id="rId4"/>
    <sheet name="Ocado" sheetId="5" r:id="rId5"/>
    <sheet name="SaintBury's" sheetId="6" r:id="rId6"/>
    <sheet name="Tesco" sheetId="7" r:id="rId7"/>
    <sheet name="King Fisher" sheetId="2" r:id="rId8"/>
  </sheets>
  <calcPr calcId="191029"/>
</workbook>
</file>

<file path=xl/calcChain.xml><?xml version="1.0" encoding="utf-8"?>
<calcChain xmlns="http://schemas.openxmlformats.org/spreadsheetml/2006/main">
  <c r="M21" i="1" l="1"/>
  <c r="M22" i="1"/>
  <c r="M17" i="1"/>
  <c r="M18" i="1"/>
  <c r="M19" i="1"/>
  <c r="M20" i="1"/>
  <c r="M15" i="1"/>
  <c r="M16" i="1"/>
  <c r="M9" i="1"/>
  <c r="M10" i="1"/>
  <c r="M11" i="1"/>
  <c r="M12" i="1"/>
  <c r="M14" i="1"/>
  <c r="K14" i="1"/>
  <c r="G14" i="1"/>
  <c r="D14" i="1"/>
  <c r="M13" i="1"/>
  <c r="K13" i="1"/>
  <c r="G13" i="1"/>
  <c r="D13" i="1"/>
  <c r="M7" i="1"/>
  <c r="M8" i="1"/>
  <c r="M6" i="1"/>
  <c r="M4" i="1"/>
  <c r="M5" i="1"/>
  <c r="M3" i="1"/>
  <c r="M2" i="1"/>
  <c r="M8" i="3"/>
  <c r="M9" i="3"/>
  <c r="M10" i="3"/>
  <c r="M11" i="3"/>
  <c r="M12" i="3"/>
  <c r="M19" i="3"/>
  <c r="M20" i="3"/>
  <c r="M21" i="3"/>
  <c r="M22" i="3"/>
  <c r="M6" i="3"/>
  <c r="M7" i="3"/>
  <c r="M17" i="3"/>
  <c r="M18" i="3"/>
  <c r="M4" i="3"/>
  <c r="M5" i="3"/>
  <c r="M14" i="3"/>
  <c r="M15" i="3"/>
  <c r="M16" i="3"/>
  <c r="M13" i="3"/>
  <c r="M3" i="3"/>
  <c r="M2" i="3"/>
  <c r="M21" i="4"/>
  <c r="M22" i="4"/>
  <c r="M19" i="4"/>
  <c r="M20" i="4"/>
  <c r="M18" i="4"/>
  <c r="M17" i="4"/>
  <c r="M16" i="4"/>
  <c r="M15" i="4"/>
  <c r="M13" i="4"/>
  <c r="M14" i="4"/>
  <c r="M12" i="4"/>
  <c r="M10" i="4"/>
  <c r="M11" i="4"/>
  <c r="M8" i="4"/>
  <c r="M9" i="4"/>
  <c r="M3" i="4"/>
  <c r="M4" i="4"/>
  <c r="M5" i="4"/>
  <c r="M6" i="4"/>
  <c r="M7" i="4"/>
  <c r="M2" i="4"/>
  <c r="M9" i="8"/>
  <c r="M10" i="8"/>
  <c r="M11" i="8"/>
  <c r="M12" i="8"/>
  <c r="M22" i="8"/>
  <c r="M20" i="8"/>
  <c r="M21" i="8"/>
  <c r="M19" i="8"/>
  <c r="M17" i="8"/>
  <c r="M18" i="8"/>
  <c r="M16" i="8"/>
  <c r="M14" i="8"/>
  <c r="M15" i="8"/>
  <c r="M13" i="8"/>
  <c r="M8" i="8"/>
  <c r="M6" i="8"/>
  <c r="M7" i="8"/>
  <c r="M3" i="8"/>
  <c r="M4" i="8"/>
  <c r="M5" i="8"/>
  <c r="M2" i="8"/>
  <c r="K2" i="8"/>
  <c r="G2" i="8"/>
  <c r="D2" i="8"/>
  <c r="D3" i="8"/>
  <c r="G3" i="8"/>
  <c r="K3" i="8"/>
  <c r="D4" i="8"/>
  <c r="G4" i="8"/>
  <c r="K4" i="8"/>
  <c r="D5" i="8"/>
  <c r="G5" i="8"/>
  <c r="K5" i="8"/>
  <c r="M13" i="5"/>
  <c r="M14" i="5"/>
  <c r="M15" i="5"/>
  <c r="M22" i="5"/>
  <c r="M20" i="5"/>
  <c r="M21" i="5"/>
  <c r="M18" i="5"/>
  <c r="M19" i="5"/>
  <c r="M17" i="5"/>
  <c r="M16" i="5"/>
  <c r="M9" i="5"/>
  <c r="M10" i="5"/>
  <c r="M11" i="5"/>
  <c r="M12" i="5"/>
  <c r="M6" i="5"/>
  <c r="M7" i="5"/>
  <c r="M8" i="5"/>
  <c r="M5" i="5"/>
  <c r="G8" i="5"/>
  <c r="G7" i="5"/>
  <c r="M4" i="5"/>
  <c r="M3" i="5"/>
  <c r="M2" i="5"/>
  <c r="K2" i="5"/>
  <c r="G2" i="5"/>
  <c r="D2" i="5"/>
  <c r="M10" i="7"/>
  <c r="G20" i="8"/>
  <c r="G21" i="8"/>
  <c r="M18" i="2"/>
  <c r="M19" i="2"/>
  <c r="M2" i="2"/>
  <c r="K2" i="2"/>
  <c r="G2" i="2"/>
  <c r="D2" i="2"/>
  <c r="M22" i="2"/>
  <c r="K22" i="2"/>
  <c r="G22" i="2"/>
  <c r="D22" i="2"/>
  <c r="M21" i="2"/>
  <c r="K21" i="2"/>
  <c r="G21" i="2"/>
  <c r="D21" i="2"/>
  <c r="M20" i="2"/>
  <c r="K20" i="2"/>
  <c r="G20" i="2"/>
  <c r="D20" i="2"/>
  <c r="K19" i="2"/>
  <c r="G19" i="2"/>
  <c r="D19" i="2"/>
  <c r="K18" i="2"/>
  <c r="G18" i="2"/>
  <c r="D18" i="2"/>
  <c r="M17" i="2"/>
  <c r="K17" i="2"/>
  <c r="G17" i="2"/>
  <c r="D17" i="2"/>
  <c r="M16" i="2"/>
  <c r="K16" i="2"/>
  <c r="G16" i="2"/>
  <c r="D16" i="2"/>
  <c r="M15" i="2"/>
  <c r="K15" i="2"/>
  <c r="G15" i="2"/>
  <c r="D15" i="2"/>
  <c r="M14" i="2"/>
  <c r="K14" i="2"/>
  <c r="G14" i="2"/>
  <c r="D14" i="2"/>
  <c r="M12" i="2"/>
  <c r="K12" i="2"/>
  <c r="G12" i="2"/>
  <c r="D12" i="2"/>
  <c r="M11" i="2"/>
  <c r="K11" i="2"/>
  <c r="G11" i="2"/>
  <c r="D11" i="2"/>
  <c r="M10" i="2"/>
  <c r="K10" i="2"/>
  <c r="G10" i="2"/>
  <c r="D10" i="2"/>
  <c r="M9" i="2"/>
  <c r="K9" i="2"/>
  <c r="G9" i="2"/>
  <c r="D9" i="2"/>
  <c r="M8" i="2"/>
  <c r="K8" i="2"/>
  <c r="G8" i="2"/>
  <c r="D8" i="2"/>
  <c r="M7" i="2"/>
  <c r="K7" i="2"/>
  <c r="G7" i="2"/>
  <c r="D7" i="2"/>
  <c r="M6" i="2"/>
  <c r="K6" i="2"/>
  <c r="G6" i="2"/>
  <c r="D6" i="2"/>
  <c r="M5" i="2"/>
  <c r="K5" i="2"/>
  <c r="G5" i="2"/>
  <c r="D5" i="2"/>
  <c r="M4" i="2"/>
  <c r="K4" i="2"/>
  <c r="G4" i="2"/>
  <c r="D4" i="2"/>
  <c r="M3" i="2"/>
  <c r="K3" i="2"/>
  <c r="G3" i="2"/>
  <c r="D3" i="2"/>
  <c r="M13" i="2"/>
  <c r="K13" i="2"/>
  <c r="G13" i="2"/>
  <c r="D13" i="2"/>
  <c r="M9" i="7"/>
  <c r="M8" i="7"/>
  <c r="M12" i="7"/>
  <c r="M11" i="7"/>
  <c r="M14" i="7" l="1"/>
  <c r="K14" i="7"/>
  <c r="G14" i="7"/>
  <c r="D14" i="7"/>
  <c r="M13" i="7"/>
  <c r="K13" i="7"/>
  <c r="G13" i="7"/>
  <c r="D13" i="7"/>
  <c r="M20" i="7"/>
  <c r="K20" i="7"/>
  <c r="G20" i="7"/>
  <c r="D20" i="7"/>
  <c r="M19" i="7"/>
  <c r="K19" i="7"/>
  <c r="G19" i="7"/>
  <c r="D19" i="7"/>
  <c r="M18" i="7"/>
  <c r="K18" i="7"/>
  <c r="G18" i="7"/>
  <c r="D18" i="7"/>
  <c r="M17" i="7"/>
  <c r="K17" i="7"/>
  <c r="G17" i="7"/>
  <c r="D17" i="7"/>
  <c r="M16" i="7"/>
  <c r="K16" i="7"/>
  <c r="G16" i="7"/>
  <c r="D16" i="7"/>
  <c r="M15" i="7"/>
  <c r="K15" i="7"/>
  <c r="G15" i="7"/>
  <c r="D15" i="7"/>
  <c r="M22" i="7"/>
  <c r="K22" i="7"/>
  <c r="G22" i="7"/>
  <c r="D22" i="7"/>
  <c r="M21" i="7"/>
  <c r="K21" i="7"/>
  <c r="G21" i="7"/>
  <c r="D21" i="7"/>
  <c r="K12" i="7"/>
  <c r="G12" i="7"/>
  <c r="D12" i="7"/>
  <c r="K11" i="7"/>
  <c r="G11" i="7"/>
  <c r="D11" i="7"/>
  <c r="K10" i="7"/>
  <c r="G10" i="7"/>
  <c r="D10" i="7"/>
  <c r="K9" i="7"/>
  <c r="G9" i="7"/>
  <c r="D9" i="7"/>
  <c r="K8" i="7"/>
  <c r="G8" i="7"/>
  <c r="D8" i="7"/>
  <c r="M7" i="7"/>
  <c r="K7" i="7"/>
  <c r="G7" i="7"/>
  <c r="D7" i="7"/>
  <c r="M6" i="7"/>
  <c r="K6" i="7"/>
  <c r="G6" i="7"/>
  <c r="D6" i="7"/>
  <c r="M5" i="7"/>
  <c r="K5" i="7"/>
  <c r="G5" i="7"/>
  <c r="D5" i="7"/>
  <c r="M4" i="7"/>
  <c r="K4" i="7"/>
  <c r="G4" i="7"/>
  <c r="D4" i="7"/>
  <c r="M3" i="7"/>
  <c r="K3" i="7"/>
  <c r="G3" i="7"/>
  <c r="D3" i="7"/>
  <c r="M2" i="7"/>
  <c r="K2" i="7"/>
  <c r="G2" i="7"/>
  <c r="D2" i="7"/>
  <c r="M22" i="6"/>
  <c r="K22" i="6"/>
  <c r="G22" i="6"/>
  <c r="D22" i="6"/>
  <c r="M21" i="6"/>
  <c r="K21" i="6"/>
  <c r="G21" i="6"/>
  <c r="D21" i="6"/>
  <c r="M20" i="6"/>
  <c r="K20" i="6"/>
  <c r="G20" i="6"/>
  <c r="D20" i="6"/>
  <c r="M19" i="6"/>
  <c r="K19" i="6"/>
  <c r="G19" i="6"/>
  <c r="D19" i="6"/>
  <c r="M18" i="6"/>
  <c r="K18" i="6"/>
  <c r="G18" i="6"/>
  <c r="D18" i="6"/>
  <c r="M17" i="6"/>
  <c r="K17" i="6"/>
  <c r="G17" i="6"/>
  <c r="D17" i="6"/>
  <c r="M16" i="6"/>
  <c r="K16" i="6"/>
  <c r="G16" i="6"/>
  <c r="D16" i="6"/>
  <c r="M15" i="6"/>
  <c r="K15" i="6"/>
  <c r="G15" i="6"/>
  <c r="D15" i="6"/>
  <c r="M14" i="6"/>
  <c r="K14" i="6"/>
  <c r="G14" i="6"/>
  <c r="D14" i="6"/>
  <c r="M13" i="6"/>
  <c r="K13" i="6"/>
  <c r="G13" i="6"/>
  <c r="D13" i="6"/>
  <c r="M12" i="6"/>
  <c r="K12" i="6"/>
  <c r="G12" i="6"/>
  <c r="D12" i="6"/>
  <c r="M11" i="6"/>
  <c r="K11" i="6"/>
  <c r="G11" i="6"/>
  <c r="D11" i="6"/>
  <c r="M10" i="6"/>
  <c r="K10" i="6"/>
  <c r="G10" i="6"/>
  <c r="D10" i="6"/>
  <c r="M9" i="6"/>
  <c r="K9" i="6"/>
  <c r="G9" i="6"/>
  <c r="D9" i="6"/>
  <c r="M8" i="6"/>
  <c r="K8" i="6"/>
  <c r="G8" i="6"/>
  <c r="D8" i="6"/>
  <c r="M2" i="6"/>
  <c r="M3" i="6"/>
  <c r="M4" i="6"/>
  <c r="M5" i="6"/>
  <c r="M7" i="6"/>
  <c r="M6" i="6"/>
  <c r="K7" i="6"/>
  <c r="G7" i="6"/>
  <c r="D7" i="6"/>
  <c r="K6" i="6"/>
  <c r="G6" i="6"/>
  <c r="D6" i="6"/>
  <c r="K5" i="6"/>
  <c r="G5" i="6"/>
  <c r="D5" i="6"/>
  <c r="K4" i="6"/>
  <c r="G4" i="6"/>
  <c r="D4" i="6"/>
  <c r="K3" i="6"/>
  <c r="G3" i="6"/>
  <c r="D3" i="6"/>
  <c r="K2" i="6"/>
  <c r="G2" i="6"/>
  <c r="D2" i="6"/>
  <c r="G21" i="5"/>
  <c r="K22" i="5"/>
  <c r="D22" i="5"/>
  <c r="K21" i="5"/>
  <c r="D21" i="5"/>
  <c r="K20" i="5"/>
  <c r="G20" i="5"/>
  <c r="D20" i="5"/>
  <c r="K19" i="5"/>
  <c r="G19" i="5"/>
  <c r="D19" i="5"/>
  <c r="K18" i="5"/>
  <c r="G18" i="5"/>
  <c r="D18" i="5"/>
  <c r="K17" i="5"/>
  <c r="G17" i="5"/>
  <c r="D17" i="5"/>
  <c r="K16" i="5"/>
  <c r="G16" i="5"/>
  <c r="D16" i="5"/>
  <c r="K15" i="5"/>
  <c r="G15" i="5"/>
  <c r="D15" i="5"/>
  <c r="K14" i="5"/>
  <c r="G14" i="5"/>
  <c r="D14" i="5"/>
  <c r="K13" i="5"/>
  <c r="G13" i="5"/>
  <c r="D13" i="5"/>
  <c r="K12" i="5"/>
  <c r="G12" i="5"/>
  <c r="D12" i="5"/>
  <c r="K11" i="5"/>
  <c r="D11" i="5"/>
  <c r="G10" i="5"/>
  <c r="K10" i="5"/>
  <c r="D10" i="5"/>
  <c r="K9" i="5"/>
  <c r="D9" i="5"/>
  <c r="K8" i="5"/>
  <c r="D8" i="5"/>
  <c r="K7" i="5"/>
  <c r="D7" i="5"/>
  <c r="K6" i="5"/>
  <c r="G6" i="5"/>
  <c r="D6" i="5"/>
  <c r="K5" i="5"/>
  <c r="G5" i="5"/>
  <c r="D5" i="5"/>
  <c r="K4" i="5"/>
  <c r="G4" i="5"/>
  <c r="D4" i="5"/>
  <c r="K3" i="5"/>
  <c r="G3" i="5"/>
  <c r="D3" i="5"/>
  <c r="K22" i="4"/>
  <c r="G22" i="4"/>
  <c r="D22" i="4"/>
  <c r="K21" i="4"/>
  <c r="G21" i="4"/>
  <c r="D21" i="4"/>
  <c r="K20" i="4"/>
  <c r="G20" i="4"/>
  <c r="D20" i="4"/>
  <c r="K19" i="4"/>
  <c r="G19" i="4"/>
  <c r="D19" i="4"/>
  <c r="K18" i="4"/>
  <c r="G18" i="4"/>
  <c r="D18" i="4"/>
  <c r="K17" i="4"/>
  <c r="G17" i="4"/>
  <c r="D17" i="4"/>
  <c r="K16" i="4"/>
  <c r="G16" i="4"/>
  <c r="D16" i="4"/>
  <c r="K13" i="4"/>
  <c r="G13" i="4"/>
  <c r="D13" i="4"/>
  <c r="D14" i="4"/>
  <c r="G14" i="4"/>
  <c r="K14" i="4"/>
  <c r="D15" i="4"/>
  <c r="G15" i="4"/>
  <c r="K15" i="4"/>
  <c r="K11" i="4"/>
  <c r="K12" i="4"/>
  <c r="G12" i="4"/>
  <c r="D12" i="4"/>
  <c r="G11" i="4"/>
  <c r="D11" i="4"/>
  <c r="K10" i="4"/>
  <c r="G10" i="4"/>
  <c r="D10" i="4"/>
  <c r="K9" i="4"/>
  <c r="G9" i="4"/>
  <c r="D9" i="4"/>
  <c r="K8" i="4"/>
  <c r="G8" i="4"/>
  <c r="D8" i="4"/>
  <c r="K7" i="4"/>
  <c r="G7" i="4"/>
  <c r="D7" i="4"/>
  <c r="K6" i="4"/>
  <c r="G6" i="4"/>
  <c r="D6" i="4"/>
  <c r="K5" i="4"/>
  <c r="G5" i="4"/>
  <c r="D5" i="4"/>
  <c r="K4" i="4"/>
  <c r="G4" i="4"/>
  <c r="D4" i="4"/>
  <c r="K3" i="4"/>
  <c r="G3" i="4"/>
  <c r="D3" i="4"/>
  <c r="K2" i="4"/>
  <c r="G2" i="4"/>
  <c r="D2" i="4"/>
  <c r="K22" i="8"/>
  <c r="G22" i="8"/>
  <c r="D22" i="8"/>
  <c r="K21" i="8"/>
  <c r="D21" i="8"/>
  <c r="K20" i="8"/>
  <c r="D20" i="8"/>
  <c r="K19" i="8"/>
  <c r="G19" i="8"/>
  <c r="D19" i="8"/>
  <c r="K18" i="8"/>
  <c r="G18" i="8"/>
  <c r="D18" i="8"/>
  <c r="K17" i="8"/>
  <c r="G17" i="8"/>
  <c r="D17" i="8"/>
  <c r="K16" i="8"/>
  <c r="G16" i="8"/>
  <c r="D16" i="8"/>
  <c r="K15" i="8"/>
  <c r="G15" i="8"/>
  <c r="D15" i="8"/>
  <c r="K14" i="8"/>
  <c r="G14" i="8"/>
  <c r="D14" i="8"/>
  <c r="K13" i="8"/>
  <c r="G13" i="8"/>
  <c r="D13" i="8"/>
  <c r="K12" i="8"/>
  <c r="G12" i="8"/>
  <c r="D12" i="8"/>
  <c r="K11" i="8"/>
  <c r="G11" i="8"/>
  <c r="D11" i="8"/>
  <c r="K9" i="8"/>
  <c r="G9" i="8"/>
  <c r="D9" i="8"/>
  <c r="K10" i="8"/>
  <c r="G10" i="8"/>
  <c r="D10" i="8"/>
  <c r="K8" i="8"/>
  <c r="G8" i="8"/>
  <c r="D8" i="8"/>
  <c r="K7" i="8"/>
  <c r="G7" i="8"/>
  <c r="D7" i="8"/>
  <c r="K6" i="8"/>
  <c r="G6" i="8"/>
  <c r="D6" i="8"/>
  <c r="K21" i="1"/>
  <c r="D21" i="1"/>
  <c r="K22" i="1"/>
  <c r="D22" i="1"/>
  <c r="D19" i="1"/>
  <c r="K19" i="1"/>
  <c r="D20" i="1"/>
  <c r="K20" i="1"/>
  <c r="K18" i="1"/>
  <c r="G18" i="1"/>
  <c r="D18" i="1"/>
  <c r="K17" i="1"/>
  <c r="G17" i="1"/>
  <c r="D17" i="1"/>
  <c r="K16" i="1"/>
  <c r="G16" i="1"/>
  <c r="D16" i="1"/>
  <c r="K15" i="1"/>
  <c r="G15" i="1"/>
  <c r="D15" i="1"/>
  <c r="K12" i="1"/>
  <c r="G12" i="1"/>
  <c r="D12" i="1"/>
  <c r="K11" i="1"/>
  <c r="G11" i="1"/>
  <c r="D11" i="1"/>
  <c r="K10" i="1"/>
  <c r="G10" i="1"/>
  <c r="D10" i="1"/>
  <c r="K9" i="1"/>
  <c r="G9" i="1"/>
  <c r="D9" i="1"/>
  <c r="K8" i="1"/>
  <c r="G8" i="1"/>
  <c r="D8" i="1"/>
  <c r="K7" i="1"/>
  <c r="G7" i="1"/>
  <c r="D7" i="1"/>
  <c r="K6" i="1"/>
  <c r="G6" i="1"/>
  <c r="D6" i="1"/>
  <c r="K5" i="1"/>
  <c r="G5" i="1"/>
  <c r="D5" i="1"/>
  <c r="K4" i="1"/>
  <c r="G4" i="1"/>
  <c r="D4" i="1"/>
  <c r="K3" i="1"/>
  <c r="G3" i="1"/>
  <c r="D3" i="1"/>
  <c r="K2" i="1"/>
  <c r="G2" i="1"/>
  <c r="D2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" i="3"/>
  <c r="G14" i="3"/>
  <c r="G13" i="3"/>
  <c r="G15" i="3"/>
  <c r="G16" i="3"/>
  <c r="G17" i="3"/>
  <c r="G18" i="3"/>
  <c r="G19" i="3"/>
  <c r="G20" i="3"/>
  <c r="G21" i="3"/>
  <c r="G22" i="3"/>
  <c r="D2" i="3"/>
  <c r="D3" i="3"/>
  <c r="D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5" i="3"/>
  <c r="G4" i="3"/>
  <c r="G2" i="3"/>
  <c r="G3" i="3"/>
  <c r="G5" i="3"/>
  <c r="G6" i="3"/>
  <c r="G7" i="3"/>
  <c r="G8" i="3"/>
  <c r="G9" i="3"/>
  <c r="G10" i="3"/>
  <c r="G11" i="3"/>
  <c r="G12" i="3"/>
  <c r="G11" i="5"/>
  <c r="G22" i="1"/>
  <c r="G21" i="1"/>
  <c r="G20" i="1"/>
  <c r="G19" i="1"/>
  <c r="G9" i="5"/>
  <c r="G22" i="5"/>
</calcChain>
</file>

<file path=xl/sharedStrings.xml><?xml version="1.0" encoding="utf-8"?>
<sst xmlns="http://schemas.openxmlformats.org/spreadsheetml/2006/main" count="136" uniqueCount="17">
  <si>
    <t>Year</t>
  </si>
  <si>
    <t>Revenue</t>
  </si>
  <si>
    <t>Operating Margin (%)</t>
  </si>
  <si>
    <t>Interim Dividend</t>
  </si>
  <si>
    <t>Net Cash</t>
  </si>
  <si>
    <t>Operating Profit</t>
  </si>
  <si>
    <t>Debt-to-Equity(%)</t>
  </si>
  <si>
    <t>Profit Margin (%)</t>
  </si>
  <si>
    <t xml:space="preserve">Profit Before Tax </t>
  </si>
  <si>
    <t>Profit After Tax</t>
  </si>
  <si>
    <t>Total Equity</t>
  </si>
  <si>
    <t>Free Cash Flow</t>
  </si>
  <si>
    <t>Basic ESP</t>
  </si>
  <si>
    <t>Net From Oprating</t>
  </si>
  <si>
    <t>CapEx</t>
  </si>
  <si>
    <t>Avg Close Price</t>
  </si>
  <si>
    <t>CEO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</si>
</sst>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,,&quot; M&quot;;\-#,##0.0,,&quot; M&quot;"/>
    <numFmt numFmtId="165" formatCode="_-* #,##0.00_-;\-* #,##0.00_-;_-* &quot;-&quot;??_-;_-@_-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ESCO Modern"/>
    </font>
    <font>
      <u/>
      <sz val="10"/>
      <color theme="10"/>
      <name val="TESCO Modern"/>
    </font>
    <font>
      <sz val="11"/>
      <color rgb="FF000000"/>
      <name val="Consolas"/>
      <family val="3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4" fillId="0" borderId="0" applyFont="0" applyFill="0" applyBorder="0" applyAlignment="0" applyProtection="0"/>
    <xf numFmtId="0" fontId="5" fillId="2" borderId="1" applyNumberFormat="0" applyFont="0" applyAlignment="0" applyProtection="0">
      <alignment vertical="center" wrapText="1"/>
    </xf>
    <xf numFmtId="0" fontId="4" fillId="0" borderId="0"/>
    <xf numFmtId="0" fontId="4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8" fillId="0" borderId="1" xfId="0" applyFont="1" applyBorder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top"/>
    </xf>
  </cellXfs>
  <cellStyles count="6">
    <cellStyle name="Comma 2" xfId="1" xr:uid="{0D5B95AE-90A3-4E78-BFD6-963522638C88}"/>
    <cellStyle name="Hyperlink 2" xfId="5" xr:uid="{F2233A90-4387-41F5-8BE2-5A34C17E5E20}"/>
    <cellStyle name="Normal" xfId="0" builtinId="0"/>
    <cellStyle name="Normal 197" xfId="3" xr:uid="{9FEFD774-F256-4CA2-98B2-D9A8D1B05FF2}"/>
    <cellStyle name="Normal 197 3" xfId="4" xr:uid="{F10C638F-4F94-46EA-923D-929D79C63008}"/>
    <cellStyle name="T23_Calculated" xfId="2" xr:uid="{981B044F-653B-4F34-9C54-58E542B389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5256-9C2A-4094-9ED8-C96318F4096C}">
  <dimension ref="A1:Q37"/>
  <sheetViews>
    <sheetView zoomScaleNormal="100" workbookViewId="0">
      <selection activeCell="Q14" sqref="Q14"/>
    </sheetView>
  </sheetViews>
  <sheetFormatPr defaultRowHeight="15"/>
  <cols>
    <col min="2" max="2" width="12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9.28515625" bestFit="1" customWidth="1"/>
    <col min="8" max="8" width="9" bestFit="1" customWidth="1"/>
    <col min="9" max="9" width="11.42578125" bestFit="1" customWidth="1"/>
    <col min="10" max="10" width="10" bestFit="1" customWidth="1"/>
    <col min="11" max="11" width="17.42578125" bestFit="1" customWidth="1"/>
    <col min="12" max="12" width="16.140625" bestFit="1" customWidth="1"/>
    <col min="13" max="13" width="14.42578125" bestFit="1" customWidth="1"/>
    <col min="14" max="14" width="14.5703125" bestFit="1" customWidth="1"/>
    <col min="15" max="15" width="17.7109375" bestFit="1" customWidth="1"/>
    <col min="16" max="16" width="6.28515625" bestFit="1" customWidth="1"/>
    <col min="17" max="17" width="13.42578125" bestFit="1" customWidth="1"/>
    <col min="18" max="18" width="19.5703125" bestFit="1" customWidth="1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10311400000</v>
      </c>
      <c r="C2" s="4">
        <v>701300000</v>
      </c>
      <c r="D2" s="2">
        <f t="shared" ref="D2:D3" si="0">ROUND(C2/B2*100,2)</f>
        <v>6.8</v>
      </c>
      <c r="E2" s="4">
        <v>600000000</v>
      </c>
      <c r="F2" s="4">
        <v>481700000</v>
      </c>
      <c r="G2" s="2">
        <f t="shared" ref="G2:G3" si="1">ROUND(F2/B2*100,2)</f>
        <v>4.67</v>
      </c>
      <c r="H2" s="2">
        <v>29.7</v>
      </c>
      <c r="I2" s="4">
        <v>3198400000</v>
      </c>
      <c r="J2" s="4">
        <v>187800000</v>
      </c>
      <c r="K2" s="2">
        <f>ROUND(J2/I2*100,2)</f>
        <v>5.87</v>
      </c>
      <c r="L2" s="2">
        <v>18</v>
      </c>
      <c r="M2" s="2">
        <f>O2-P2</f>
        <v>628.9</v>
      </c>
      <c r="N2" s="2">
        <v>417.14</v>
      </c>
      <c r="O2" s="2">
        <v>1278</v>
      </c>
      <c r="P2" s="2">
        <v>649.1</v>
      </c>
      <c r="Q2" s="2">
        <v>0</v>
      </c>
    </row>
    <row r="3" spans="1:17">
      <c r="A3" s="2">
        <v>2016</v>
      </c>
      <c r="B3" s="6">
        <v>10555400000</v>
      </c>
      <c r="C3" s="4">
        <v>584100000</v>
      </c>
      <c r="D3" s="2">
        <f t="shared" si="0"/>
        <v>5.53</v>
      </c>
      <c r="E3" s="4">
        <v>488800000</v>
      </c>
      <c r="F3" s="4">
        <v>404400000</v>
      </c>
      <c r="G3" s="2">
        <f t="shared" si="1"/>
        <v>3.83</v>
      </c>
      <c r="H3" s="2">
        <v>24.9</v>
      </c>
      <c r="I3" s="4">
        <v>3443000000</v>
      </c>
      <c r="J3" s="4">
        <v>196000000</v>
      </c>
      <c r="K3" s="2">
        <f t="shared" ref="K3" si="2">ROUND(J3/I3*100,2)</f>
        <v>5.69</v>
      </c>
      <c r="L3" s="2">
        <v>18.7</v>
      </c>
      <c r="M3" s="2">
        <f>O3-P3</f>
        <v>635.9</v>
      </c>
      <c r="N3" s="2">
        <v>482.17</v>
      </c>
      <c r="O3" s="2">
        <v>1212</v>
      </c>
      <c r="P3" s="2">
        <v>576.1</v>
      </c>
      <c r="Q3" s="2">
        <v>0</v>
      </c>
    </row>
    <row r="4" spans="1:17">
      <c r="A4" s="2">
        <v>2017</v>
      </c>
      <c r="B4" s="6">
        <v>10622000000</v>
      </c>
      <c r="C4" s="4">
        <v>253200000</v>
      </c>
      <c r="D4" s="2">
        <f>ROUND(C4/B4*100,2)</f>
        <v>2.38</v>
      </c>
      <c r="E4" s="4">
        <v>176400000</v>
      </c>
      <c r="F4" s="4">
        <v>115700000</v>
      </c>
      <c r="G4" s="2">
        <f>ROUND(F4/B4*100,2)</f>
        <v>1.0900000000000001</v>
      </c>
      <c r="H4" s="2">
        <v>7.2</v>
      </c>
      <c r="I4" s="4">
        <v>3150400000</v>
      </c>
      <c r="J4" s="4">
        <v>406200000</v>
      </c>
      <c r="K4" s="2">
        <f>ROUND(J4/I4*100,2)</f>
        <v>12.89</v>
      </c>
      <c r="L4" s="2">
        <v>18.7</v>
      </c>
      <c r="M4" s="2">
        <f>O4-P4</f>
        <v>695.7</v>
      </c>
      <c r="N4" s="2">
        <v>315.7</v>
      </c>
      <c r="O4" s="2">
        <v>1067.7</v>
      </c>
      <c r="P4" s="2">
        <v>372</v>
      </c>
      <c r="Q4" s="2">
        <v>0</v>
      </c>
    </row>
    <row r="5" spans="1:17">
      <c r="A5" s="2">
        <v>2018</v>
      </c>
      <c r="B5" s="6">
        <v>10698200000</v>
      </c>
      <c r="C5" s="4">
        <v>156500000</v>
      </c>
      <c r="D5" s="2">
        <f>ROUND(C5/B5*100,2)</f>
        <v>1.46</v>
      </c>
      <c r="E5" s="4">
        <v>66800000</v>
      </c>
      <c r="F5" s="4">
        <v>29100000</v>
      </c>
      <c r="G5" s="2">
        <f>ROUND(F5/B5*100,2)</f>
        <v>0.27</v>
      </c>
      <c r="H5" s="2">
        <v>1.6</v>
      </c>
      <c r="I5" s="4">
        <v>2954000000</v>
      </c>
      <c r="J5" s="4">
        <v>171000000</v>
      </c>
      <c r="K5" s="2">
        <f>ROUND(J5/I5*100,2)</f>
        <v>5.79</v>
      </c>
      <c r="L5" s="2">
        <v>18.7</v>
      </c>
      <c r="M5" s="2">
        <f>O5-P5</f>
        <v>533.5</v>
      </c>
      <c r="N5" s="2">
        <v>310.35000000000002</v>
      </c>
      <c r="O5" s="13">
        <v>849.8</v>
      </c>
      <c r="P5" s="13">
        <v>316.3</v>
      </c>
      <c r="Q5" s="2">
        <v>0</v>
      </c>
    </row>
    <row r="6" spans="1:17">
      <c r="A6" s="2">
        <v>2019</v>
      </c>
      <c r="B6" s="6">
        <v>10400000000</v>
      </c>
      <c r="C6" s="4">
        <v>298100000</v>
      </c>
      <c r="D6" s="2">
        <f>ROUND(C6/B6*100,2)</f>
        <v>2.87</v>
      </c>
      <c r="E6" s="4">
        <v>84200000</v>
      </c>
      <c r="F6" s="4">
        <v>45300000</v>
      </c>
      <c r="G6" s="2">
        <f>ROUND(F6/B6*100,2)</f>
        <v>0.44</v>
      </c>
      <c r="H6" s="2">
        <v>2.5</v>
      </c>
      <c r="I6" s="4">
        <v>2469000000</v>
      </c>
      <c r="J6" s="4">
        <v>213100000</v>
      </c>
      <c r="K6" s="2">
        <f>ROUND(J6/I6*100,2)</f>
        <v>8.6300000000000008</v>
      </c>
      <c r="L6" s="2">
        <v>18.7</v>
      </c>
      <c r="M6" s="2">
        <f>O6-P6</f>
        <v>856.7</v>
      </c>
      <c r="N6" s="2">
        <v>277.88</v>
      </c>
      <c r="O6" s="13">
        <v>1244.7</v>
      </c>
      <c r="P6" s="13">
        <v>388</v>
      </c>
      <c r="Q6" s="2">
        <v>0</v>
      </c>
    </row>
    <row r="7" spans="1:17">
      <c r="A7" s="2">
        <v>2020</v>
      </c>
      <c r="B7" s="6">
        <v>10200000000</v>
      </c>
      <c r="C7" s="4">
        <v>254800000</v>
      </c>
      <c r="D7" s="2">
        <f>ROUND(C7/B7*100,2)</f>
        <v>2.5</v>
      </c>
      <c r="E7" s="4">
        <v>67200000</v>
      </c>
      <c r="F7" s="4">
        <v>27400000</v>
      </c>
      <c r="G7" s="2">
        <f>ROUND(F7/B7*100,2)</f>
        <v>0.27</v>
      </c>
      <c r="H7" s="2">
        <v>1.3</v>
      </c>
      <c r="I7" s="4">
        <v>3708500000</v>
      </c>
      <c r="J7" s="4">
        <v>164100000</v>
      </c>
      <c r="K7" s="2">
        <f>ROUND(J7/I7*100,2)</f>
        <v>4.42</v>
      </c>
      <c r="L7" s="2">
        <v>10.7</v>
      </c>
      <c r="M7" s="2">
        <f>O7-P7</f>
        <v>207.39999999999998</v>
      </c>
      <c r="N7" s="2">
        <v>195.53</v>
      </c>
      <c r="O7" s="13">
        <v>973.1</v>
      </c>
      <c r="P7" s="13">
        <v>765.7</v>
      </c>
      <c r="Q7" s="2">
        <v>0</v>
      </c>
    </row>
    <row r="8" spans="1:17">
      <c r="A8" s="2">
        <v>2021</v>
      </c>
      <c r="B8" s="6">
        <v>9155700000</v>
      </c>
      <c r="C8" s="4">
        <v>-30700000</v>
      </c>
      <c r="D8" s="2">
        <f>ROUND(C8/B8*100,2)</f>
        <v>-0.34</v>
      </c>
      <c r="E8" s="4">
        <v>-209400000</v>
      </c>
      <c r="F8" s="4">
        <v>-201200000</v>
      </c>
      <c r="G8" s="2">
        <f>ROUND(F8/B8*100,2)</f>
        <v>-2.2000000000000002</v>
      </c>
      <c r="H8" s="2">
        <v>-10.1</v>
      </c>
      <c r="I8" s="4">
        <v>2285800000</v>
      </c>
      <c r="J8" s="4">
        <v>669700000</v>
      </c>
      <c r="K8" s="2">
        <f>ROUND(J8/I8*100,2)</f>
        <v>29.3</v>
      </c>
      <c r="L8" s="2">
        <v>0</v>
      </c>
      <c r="M8" s="2">
        <f>O8-P8</f>
        <v>678.3</v>
      </c>
      <c r="N8" s="2">
        <v>110.17</v>
      </c>
      <c r="O8" s="13">
        <v>870.9</v>
      </c>
      <c r="P8" s="13">
        <v>192.6</v>
      </c>
      <c r="Q8" s="2">
        <v>0</v>
      </c>
    </row>
    <row r="9" spans="1:17">
      <c r="A9" s="2">
        <v>2022</v>
      </c>
      <c r="B9" s="6">
        <v>10885100000</v>
      </c>
      <c r="C9" s="4">
        <v>572200000</v>
      </c>
      <c r="D9" s="2">
        <f>ROUND(C9/B9*100,2)</f>
        <v>5.26</v>
      </c>
      <c r="E9" s="4">
        <v>391700000</v>
      </c>
      <c r="F9" s="4">
        <v>309000000</v>
      </c>
      <c r="G9" s="2">
        <f>ROUND(F9/B9*100,2)</f>
        <v>2.84</v>
      </c>
      <c r="H9" s="2">
        <v>15.7</v>
      </c>
      <c r="I9" s="4">
        <v>2917000000</v>
      </c>
      <c r="J9" s="4">
        <v>1197900000</v>
      </c>
      <c r="K9" s="2">
        <f>ROUND(J9/I9*100,2)</f>
        <v>41.07</v>
      </c>
      <c r="L9" s="2">
        <v>0</v>
      </c>
      <c r="M9" s="2">
        <f>O9-P9</f>
        <v>1132.3</v>
      </c>
      <c r="N9" s="2">
        <v>186.59</v>
      </c>
      <c r="O9" s="13">
        <v>1378</v>
      </c>
      <c r="P9" s="13">
        <v>245.7</v>
      </c>
      <c r="Q9" s="2">
        <v>0</v>
      </c>
    </row>
    <row r="10" spans="1:17">
      <c r="A10" s="2">
        <v>2023</v>
      </c>
      <c r="B10" s="6">
        <v>11931300000</v>
      </c>
      <c r="C10" s="4">
        <v>515100000</v>
      </c>
      <c r="D10" s="2">
        <f>ROUND(C10/B10*100,2)</f>
        <v>4.32</v>
      </c>
      <c r="E10" s="4">
        <v>475700000</v>
      </c>
      <c r="F10" s="4">
        <v>364500000</v>
      </c>
      <c r="G10" s="2">
        <f>ROUND(F10/B10*100,2)</f>
        <v>3.05</v>
      </c>
      <c r="H10" s="2">
        <v>18.5</v>
      </c>
      <c r="I10" s="4">
        <v>2680800000</v>
      </c>
      <c r="J10" s="4">
        <v>1067900000</v>
      </c>
      <c r="K10" s="2">
        <f>ROUND(J10/I10*100,2)</f>
        <v>39.840000000000003</v>
      </c>
      <c r="L10" s="2">
        <v>0</v>
      </c>
      <c r="M10" s="2">
        <f>O10-P10</f>
        <v>513.30000000000007</v>
      </c>
      <c r="N10" s="2">
        <v>121.4</v>
      </c>
      <c r="O10" s="13">
        <v>1029.9000000000001</v>
      </c>
      <c r="P10" s="13">
        <v>516.6</v>
      </c>
      <c r="Q10" s="2">
        <v>0</v>
      </c>
    </row>
    <row r="11" spans="1:17">
      <c r="A11" s="2">
        <v>2024</v>
      </c>
      <c r="B11" s="6">
        <v>13040100000</v>
      </c>
      <c r="C11" s="4">
        <v>714200000</v>
      </c>
      <c r="D11" s="2">
        <f>ROUND(C11/B11*100,2)</f>
        <v>5.48</v>
      </c>
      <c r="E11" s="4">
        <v>672200000</v>
      </c>
      <c r="F11" s="4">
        <v>425200000</v>
      </c>
      <c r="G11" s="2">
        <f>ROUND(F11/B11*100,2)</f>
        <v>3.26</v>
      </c>
      <c r="H11" s="2">
        <v>21.9</v>
      </c>
      <c r="I11" s="4">
        <v>2830100000</v>
      </c>
      <c r="J11" s="4">
        <v>1022400000</v>
      </c>
      <c r="K11" s="2">
        <f>ROUND(J11/I11*100,2)</f>
        <v>36.130000000000003</v>
      </c>
      <c r="L11" s="2">
        <v>3</v>
      </c>
      <c r="M11" s="2">
        <f>O11-P11</f>
        <v>866.2</v>
      </c>
      <c r="N11" s="2">
        <v>227.6</v>
      </c>
      <c r="O11" s="13">
        <v>1301.7</v>
      </c>
      <c r="P11" s="13">
        <v>435.5</v>
      </c>
      <c r="Q11" s="2">
        <v>0</v>
      </c>
    </row>
    <row r="12" spans="1:17">
      <c r="A12" s="2">
        <v>2025</v>
      </c>
      <c r="B12" s="6">
        <v>13816800000</v>
      </c>
      <c r="C12" s="4">
        <v>624300000</v>
      </c>
      <c r="D12" s="2">
        <f>ROUND(C12/B12*100,2)</f>
        <v>4.5199999999999996</v>
      </c>
      <c r="E12" s="4">
        <v>511800000</v>
      </c>
      <c r="F12" s="4">
        <v>291900000</v>
      </c>
      <c r="G12" s="2">
        <f>ROUND(F12/B12*100,2)</f>
        <v>2.11</v>
      </c>
      <c r="H12" s="2">
        <v>14.6</v>
      </c>
      <c r="I12" s="4">
        <v>2951000000</v>
      </c>
      <c r="J12" s="4">
        <v>864500000</v>
      </c>
      <c r="K12" s="2">
        <f>ROUND(J12/I12*100,2)</f>
        <v>29.3</v>
      </c>
      <c r="L12" s="2">
        <v>3.6</v>
      </c>
      <c r="M12" s="2">
        <f>O12-P12</f>
        <v>616.9</v>
      </c>
      <c r="N12" s="2">
        <v>355.93</v>
      </c>
      <c r="O12" s="13">
        <v>1313</v>
      </c>
      <c r="P12" s="13">
        <v>696.1</v>
      </c>
      <c r="Q12" s="2">
        <v>0</v>
      </c>
    </row>
    <row r="13" spans="1:17">
      <c r="A13" s="2">
        <v>2015.5</v>
      </c>
      <c r="B13" s="4">
        <v>4951300000</v>
      </c>
      <c r="C13" s="4">
        <v>339000000</v>
      </c>
      <c r="D13" s="2">
        <f t="shared" ref="D13:D22" si="3">ROUND(C13/B13*100,2)</f>
        <v>6.85</v>
      </c>
      <c r="E13" s="4">
        <v>216000000</v>
      </c>
      <c r="F13" s="4">
        <v>170700000</v>
      </c>
      <c r="G13" s="2">
        <f>ROUND(F13/B13*100,2)</f>
        <v>3.45</v>
      </c>
      <c r="H13" s="2">
        <v>10.5</v>
      </c>
      <c r="I13" s="4">
        <v>3061000000</v>
      </c>
      <c r="J13" s="4">
        <v>167200000</v>
      </c>
      <c r="K13" s="2">
        <f t="shared" ref="K13:K22" si="4">ROUND(J13/I13*100,2)</f>
        <v>5.46</v>
      </c>
      <c r="L13" s="2">
        <v>6.8</v>
      </c>
      <c r="M13" s="2">
        <f>O13-P13</f>
        <v>313.69999999999993</v>
      </c>
      <c r="N13" s="2">
        <v>499.24</v>
      </c>
      <c r="O13" s="2">
        <v>546.29999999999995</v>
      </c>
      <c r="P13" s="2">
        <v>232.6</v>
      </c>
      <c r="Q13" s="2">
        <v>0</v>
      </c>
    </row>
    <row r="14" spans="1:17">
      <c r="A14" s="2">
        <v>2016.5</v>
      </c>
      <c r="B14" s="4">
        <v>4993500000</v>
      </c>
      <c r="C14" s="4">
        <v>62500000</v>
      </c>
      <c r="D14" s="2">
        <f t="shared" si="3"/>
        <v>1.25</v>
      </c>
      <c r="E14" s="4">
        <v>25100000</v>
      </c>
      <c r="F14" s="4">
        <v>15600000</v>
      </c>
      <c r="G14" s="2">
        <f>ROUND(F14/B14*100,2)</f>
        <v>0.31</v>
      </c>
      <c r="H14" s="2">
        <v>1</v>
      </c>
      <c r="I14" s="4">
        <v>3123000000</v>
      </c>
      <c r="J14" s="4">
        <v>121200000</v>
      </c>
      <c r="K14" s="2">
        <f t="shared" si="4"/>
        <v>3.88</v>
      </c>
      <c r="L14" s="2">
        <v>6.8</v>
      </c>
      <c r="M14" s="2">
        <f t="shared" ref="M14:M17" si="5">O14-P14</f>
        <v>219.3</v>
      </c>
      <c r="N14" s="2">
        <v>387.9</v>
      </c>
      <c r="O14" s="2">
        <v>412.6</v>
      </c>
      <c r="P14" s="2">
        <v>193.3</v>
      </c>
      <c r="Q14" s="2">
        <v>1</v>
      </c>
    </row>
    <row r="15" spans="1:17">
      <c r="A15" s="2">
        <v>2017.5</v>
      </c>
      <c r="B15" s="4">
        <v>5130000000</v>
      </c>
      <c r="C15" s="4">
        <v>165300000</v>
      </c>
      <c r="D15" s="2">
        <f>ROUND(C15/B15*100,2)</f>
        <v>3.22</v>
      </c>
      <c r="E15" s="4">
        <v>118300000</v>
      </c>
      <c r="F15" s="4">
        <v>84600000</v>
      </c>
      <c r="G15" s="2">
        <f>ROUND(F15/B15*100,2)</f>
        <v>1.65</v>
      </c>
      <c r="H15" s="2">
        <v>5.2</v>
      </c>
      <c r="I15" s="4">
        <v>2882000000</v>
      </c>
      <c r="J15" s="4">
        <v>251000000</v>
      </c>
      <c r="K15" s="2">
        <f>ROUND(J15/I15*100,2)</f>
        <v>8.7100000000000009</v>
      </c>
      <c r="L15" s="2">
        <v>6.8</v>
      </c>
      <c r="M15" s="2">
        <f>O15-P15</f>
        <v>152.29999999999998</v>
      </c>
      <c r="N15" s="2">
        <v>330.29</v>
      </c>
      <c r="O15" s="2">
        <v>332.9</v>
      </c>
      <c r="P15" s="2">
        <v>180.6</v>
      </c>
      <c r="Q15" s="2">
        <v>0</v>
      </c>
    </row>
    <row r="16" spans="1:17">
      <c r="A16" s="2">
        <v>2018.5</v>
      </c>
      <c r="B16" s="4">
        <v>5000000000</v>
      </c>
      <c r="C16" s="4">
        <v>165700000</v>
      </c>
      <c r="D16" s="2">
        <f>ROUND(C16/B16*100,2)</f>
        <v>3.31</v>
      </c>
      <c r="E16" s="4">
        <v>126700000</v>
      </c>
      <c r="F16" s="4">
        <v>89800000</v>
      </c>
      <c r="G16" s="2">
        <f>ROUND(F16/B16*100,2)</f>
        <v>1.8</v>
      </c>
      <c r="H16" s="2">
        <v>5.4</v>
      </c>
      <c r="I16" s="4">
        <v>2887100000</v>
      </c>
      <c r="J16" s="4">
        <v>114000000</v>
      </c>
      <c r="K16" s="2">
        <f>ROUND(J16/I16*100,2)</f>
        <v>3.95</v>
      </c>
      <c r="L16" s="2">
        <v>6.8</v>
      </c>
      <c r="M16" s="2">
        <f>O16-P16</f>
        <v>278.29999999999995</v>
      </c>
      <c r="N16" s="2">
        <v>276.38</v>
      </c>
      <c r="O16" s="2">
        <v>433.9</v>
      </c>
      <c r="P16" s="2">
        <v>155.6</v>
      </c>
      <c r="Q16" s="2">
        <v>0</v>
      </c>
    </row>
    <row r="17" spans="1:17">
      <c r="A17" s="2">
        <v>2019.5</v>
      </c>
      <c r="B17" s="4">
        <v>4860000000</v>
      </c>
      <c r="C17" s="4">
        <v>252400000</v>
      </c>
      <c r="D17" s="2">
        <f>ROUND(C17/B17*100,2)</f>
        <v>5.19</v>
      </c>
      <c r="E17" s="4">
        <v>158500000</v>
      </c>
      <c r="F17" s="4">
        <v>122400000</v>
      </c>
      <c r="G17" s="2">
        <f>ROUND(F17/B17*100,2)</f>
        <v>2.52</v>
      </c>
      <c r="H17" s="2">
        <v>6.4</v>
      </c>
      <c r="I17" s="4">
        <v>3117300000</v>
      </c>
      <c r="J17" s="4">
        <v>307600000</v>
      </c>
      <c r="K17" s="2">
        <f>ROUND(J17/I17*100,2)</f>
        <v>9.8699999999999992</v>
      </c>
      <c r="L17" s="2">
        <v>3.9</v>
      </c>
      <c r="M17" s="2">
        <f>O17-P17</f>
        <v>-358.2</v>
      </c>
      <c r="N17" s="2">
        <v>255.97</v>
      </c>
      <c r="O17" s="2">
        <v>369.2</v>
      </c>
      <c r="P17" s="2">
        <v>727.4</v>
      </c>
      <c r="Q17" s="2">
        <v>0</v>
      </c>
    </row>
    <row r="18" spans="1:17">
      <c r="A18" s="2">
        <v>2020.5</v>
      </c>
      <c r="B18" s="4">
        <v>4090000000</v>
      </c>
      <c r="C18" s="4">
        <v>-9400000</v>
      </c>
      <c r="D18" s="2">
        <f>ROUND(C18/B18*100,2)</f>
        <v>-0.23</v>
      </c>
      <c r="E18" s="4">
        <v>-84600000</v>
      </c>
      <c r="F18" s="4">
        <v>-71600000</v>
      </c>
      <c r="G18" s="2">
        <f>ROUND(F18/B18*100,2)</f>
        <v>-1.75</v>
      </c>
      <c r="H18" s="2">
        <v>-3.5</v>
      </c>
      <c r="I18" s="4">
        <v>2712500000</v>
      </c>
      <c r="J18" s="4">
        <v>222500000</v>
      </c>
      <c r="K18" s="2">
        <f>ROUND(J18/I18*100,2)</f>
        <v>8.1999999999999993</v>
      </c>
      <c r="L18" s="2">
        <v>0</v>
      </c>
      <c r="M18" s="2">
        <f>O18-P18</f>
        <v>230.5</v>
      </c>
      <c r="N18" s="2">
        <v>132.06</v>
      </c>
      <c r="O18" s="2">
        <v>350.8</v>
      </c>
      <c r="P18" s="2">
        <v>120.3</v>
      </c>
      <c r="Q18" s="2">
        <v>0</v>
      </c>
    </row>
    <row r="19" spans="1:17">
      <c r="A19" s="2">
        <v>2021.5</v>
      </c>
      <c r="B19" s="4">
        <v>5105000000</v>
      </c>
      <c r="C19" s="4">
        <v>282000000</v>
      </c>
      <c r="D19" s="2">
        <f>ROUND(C19/B19*100,2)</f>
        <v>5.52</v>
      </c>
      <c r="E19" s="4">
        <v>187300000</v>
      </c>
      <c r="F19" s="4">
        <v>159900000</v>
      </c>
      <c r="G19" s="2">
        <f>ROUND(F19/B19*100,2)</f>
        <v>3.13</v>
      </c>
      <c r="H19" s="2">
        <v>8.1999999999999993</v>
      </c>
      <c r="I19" s="4">
        <v>2531700000</v>
      </c>
      <c r="J19" s="4">
        <v>951900000</v>
      </c>
      <c r="K19" s="2">
        <f>ROUND(J19/I19*100,2)</f>
        <v>37.6</v>
      </c>
      <c r="L19" s="2">
        <v>0</v>
      </c>
      <c r="M19" s="2">
        <f>O19-P19</f>
        <v>505.6</v>
      </c>
      <c r="N19" s="2">
        <v>149.99</v>
      </c>
      <c r="O19" s="2">
        <v>651.6</v>
      </c>
      <c r="P19" s="2">
        <v>146</v>
      </c>
      <c r="Q19" s="2">
        <v>0</v>
      </c>
    </row>
    <row r="20" spans="1:17">
      <c r="A20" s="2">
        <v>2022.5</v>
      </c>
      <c r="B20" s="4">
        <v>5538000000</v>
      </c>
      <c r="C20" s="4">
        <v>171500000</v>
      </c>
      <c r="D20" s="2">
        <f>ROUND(C20/B20*100,2)</f>
        <v>3.1</v>
      </c>
      <c r="E20" s="4">
        <v>208700000</v>
      </c>
      <c r="F20" s="4">
        <v>166700000</v>
      </c>
      <c r="G20" s="2">
        <f>ROUND(F20/B20*100,2)</f>
        <v>3.01</v>
      </c>
      <c r="H20" s="2">
        <v>8.5</v>
      </c>
      <c r="I20" s="4">
        <v>3013000000</v>
      </c>
      <c r="J20" s="4">
        <v>772700000</v>
      </c>
      <c r="K20" s="2">
        <f>ROUND(J20/I20*100,2)</f>
        <v>25.65</v>
      </c>
      <c r="L20" s="2">
        <v>0</v>
      </c>
      <c r="M20" s="2">
        <f>O20-P20</f>
        <v>32.300000000000011</v>
      </c>
      <c r="N20" s="2">
        <v>168.94</v>
      </c>
      <c r="O20" s="2">
        <v>300</v>
      </c>
      <c r="P20" s="2">
        <v>267.7</v>
      </c>
      <c r="Q20" s="2">
        <v>0</v>
      </c>
    </row>
    <row r="21" spans="1:17">
      <c r="A21" s="2">
        <v>2023.5</v>
      </c>
      <c r="B21" s="4">
        <v>6134000000</v>
      </c>
      <c r="C21" s="4">
        <v>325600000</v>
      </c>
      <c r="D21" s="2">
        <f>ROUND(C21/B21*100,2)</f>
        <v>5.31</v>
      </c>
      <c r="E21" s="4">
        <v>325600000</v>
      </c>
      <c r="F21" s="4">
        <v>206900000</v>
      </c>
      <c r="G21" s="2">
        <f>ROUND(F21/B21*100,2)</f>
        <v>3.37</v>
      </c>
      <c r="H21" s="2">
        <v>10.6</v>
      </c>
      <c r="I21" s="4">
        <v>2847500000</v>
      </c>
      <c r="J21" s="4">
        <v>828700000</v>
      </c>
      <c r="K21" s="2">
        <f>ROUND(J21/I21*100,2)</f>
        <v>29.1</v>
      </c>
      <c r="L21" s="2">
        <v>0</v>
      </c>
      <c r="M21" s="2">
        <f>O21-P21</f>
        <v>268.10000000000002</v>
      </c>
      <c r="N21" s="2">
        <v>162.96</v>
      </c>
      <c r="O21" s="2">
        <v>482.2</v>
      </c>
      <c r="P21" s="2">
        <v>214.1</v>
      </c>
      <c r="Q21" s="2">
        <v>0</v>
      </c>
    </row>
    <row r="22" spans="1:17">
      <c r="A22" s="2">
        <v>2024.5</v>
      </c>
      <c r="B22" s="4">
        <v>6481000000</v>
      </c>
      <c r="C22" s="4">
        <v>278600000</v>
      </c>
      <c r="D22" s="2">
        <f>ROUND(C22/B22*100,2)</f>
        <v>4.3</v>
      </c>
      <c r="E22" s="4">
        <v>391900000</v>
      </c>
      <c r="F22" s="4">
        <v>287600000</v>
      </c>
      <c r="G22" s="2">
        <f>ROUND(F22/B22*100,2)</f>
        <v>4.4400000000000004</v>
      </c>
      <c r="H22" s="2">
        <v>14.6</v>
      </c>
      <c r="I22" s="4">
        <v>3031000000</v>
      </c>
      <c r="J22" s="4">
        <v>618700000</v>
      </c>
      <c r="K22" s="2">
        <f>ROUND(J22/I22*100,2)</f>
        <v>20.41</v>
      </c>
      <c r="L22" s="2">
        <v>1</v>
      </c>
      <c r="M22" s="2">
        <f>O22-P22</f>
        <v>54.900000000000034</v>
      </c>
      <c r="N22" s="2">
        <v>264.26</v>
      </c>
      <c r="O22" s="2">
        <v>395.8</v>
      </c>
      <c r="P22" s="2">
        <v>340.9</v>
      </c>
      <c r="Q22" s="2">
        <v>0</v>
      </c>
    </row>
    <row r="28" spans="1:17">
      <c r="A28" s="2"/>
      <c r="B28" s="6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7">
      <c r="A29" s="2"/>
      <c r="B29" s="6"/>
      <c r="C29" s="4"/>
      <c r="D29" s="2"/>
      <c r="E29" s="2"/>
      <c r="F29" s="3"/>
      <c r="G29" s="2"/>
      <c r="H29" s="2"/>
      <c r="I29" s="2"/>
      <c r="J29" s="2"/>
      <c r="K29" s="2"/>
      <c r="L29" s="2"/>
      <c r="M29" s="2"/>
    </row>
    <row r="30" spans="1:17">
      <c r="A30" s="2"/>
      <c r="B30" s="6"/>
      <c r="C30" s="4"/>
      <c r="D30" s="2"/>
      <c r="E30" s="2"/>
      <c r="F30" s="3"/>
      <c r="G30" s="2"/>
      <c r="H30" s="2"/>
      <c r="I30" s="2"/>
      <c r="J30" s="2"/>
      <c r="K30" s="2"/>
      <c r="L30" s="2"/>
      <c r="M30" s="2"/>
    </row>
    <row r="31" spans="1:17">
      <c r="A31" s="2"/>
      <c r="B31" s="6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</row>
    <row r="33" spans="1:13">
      <c r="A33" s="2"/>
      <c r="B33" s="6"/>
      <c r="C33" s="4"/>
      <c r="D33" s="2"/>
      <c r="E33" s="2"/>
      <c r="F33" s="2"/>
      <c r="G33" s="2"/>
      <c r="H33" s="2"/>
      <c r="I33" s="4"/>
      <c r="J33" s="4"/>
      <c r="K33" s="2"/>
      <c r="L33" s="2"/>
      <c r="M33" s="2"/>
    </row>
    <row r="34" spans="1:13">
      <c r="A34" s="2"/>
      <c r="B34" s="6"/>
      <c r="C34" s="4"/>
      <c r="D34" s="2"/>
      <c r="E34" s="2"/>
      <c r="F34" s="2"/>
      <c r="G34" s="2"/>
      <c r="H34" s="2"/>
      <c r="I34" s="4"/>
      <c r="J34" s="4"/>
      <c r="K34" s="2"/>
      <c r="L34" s="2"/>
      <c r="M34" s="2"/>
    </row>
    <row r="35" spans="1:13">
      <c r="A35" s="2"/>
      <c r="B35" s="6"/>
      <c r="C35" s="4"/>
      <c r="D35" s="2"/>
      <c r="E35" s="2"/>
      <c r="F35" s="2"/>
      <c r="G35" s="2"/>
      <c r="H35" s="2"/>
      <c r="I35" s="4"/>
      <c r="J35" s="4"/>
      <c r="K35" s="2"/>
      <c r="L35" s="2"/>
      <c r="M35" s="2"/>
    </row>
    <row r="36" spans="1:13">
      <c r="A36" s="2"/>
      <c r="B36" s="6"/>
      <c r="C36" s="4"/>
      <c r="D36" s="2"/>
      <c r="E36" s="4"/>
      <c r="F36" s="4"/>
      <c r="G36" s="2"/>
      <c r="H36" s="2"/>
      <c r="I36" s="4"/>
      <c r="J36" s="4"/>
      <c r="K36" s="2"/>
      <c r="L36" s="2"/>
      <c r="M36" s="2"/>
    </row>
    <row r="37" spans="1:13">
      <c r="A37" s="2"/>
      <c r="B37" s="6"/>
      <c r="C37" s="4"/>
      <c r="D37" s="2"/>
      <c r="E37" s="4"/>
      <c r="F37" s="4"/>
      <c r="G37" s="2"/>
      <c r="H37" s="2"/>
      <c r="I37" s="4"/>
      <c r="J37" s="4"/>
      <c r="K37" s="2"/>
      <c r="L37" s="2"/>
      <c r="M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Normal="100" workbookViewId="0">
      <selection activeCell="Q10" sqref="Q10"/>
    </sheetView>
  </sheetViews>
  <sheetFormatPr defaultRowHeight="15"/>
  <cols>
    <col min="2" max="2" width="11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9" style="2" bestFit="1" customWidth="1"/>
    <col min="9" max="9" width="11.42578125" bestFit="1" customWidth="1"/>
    <col min="10" max="10" width="11.5703125" customWidth="1"/>
    <col min="11" max="11" width="17.42578125" bestFit="1" customWidth="1"/>
    <col min="12" max="12" width="16.140625" bestFit="1" customWidth="1"/>
    <col min="13" max="13" width="14.42578125" bestFit="1" customWidth="1"/>
    <col min="14" max="14" width="14.5703125" bestFit="1" customWidth="1"/>
    <col min="15" max="15" width="17.7109375" bestFit="1" customWidth="1"/>
    <col min="17" max="17" width="11.5703125" bestFit="1" customWidth="1"/>
  </cols>
  <sheetData>
    <row r="1" spans="1:17" ht="18.75" customHeight="1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1522253000</v>
      </c>
      <c r="C2" s="4">
        <v>92646000</v>
      </c>
      <c r="D2" s="2">
        <f t="shared" ref="D2:D3" si="0">ROUND(C2/B2*100,2)</f>
        <v>6.09</v>
      </c>
      <c r="E2" s="4">
        <v>90496000</v>
      </c>
      <c r="F2" s="4">
        <v>69755000</v>
      </c>
      <c r="G2" s="2">
        <f t="shared" ref="G2:G3" si="1">ROUND(F2/B2*100,2)</f>
        <v>4.58</v>
      </c>
      <c r="H2" s="2">
        <v>35.17</v>
      </c>
      <c r="I2" s="4">
        <v>329900000</v>
      </c>
      <c r="J2" s="4">
        <v>115697000</v>
      </c>
      <c r="K2" s="2">
        <f t="shared" ref="K2:K3" si="2">ROUND(J2/I2*100,2)</f>
        <v>35.07</v>
      </c>
      <c r="L2" s="2">
        <v>1.41</v>
      </c>
      <c r="M2" s="2">
        <f>O2-P2</f>
        <v>55.900000000000006</v>
      </c>
      <c r="N2" s="2">
        <v>17.329999999999998</v>
      </c>
      <c r="O2" s="2">
        <v>115.7</v>
      </c>
      <c r="P2" s="2">
        <v>59.8</v>
      </c>
      <c r="Q2" s="2">
        <v>0</v>
      </c>
    </row>
    <row r="3" spans="1:17">
      <c r="A3" s="2">
        <v>2016</v>
      </c>
      <c r="B3" s="6">
        <v>1821652000</v>
      </c>
      <c r="C3" s="4">
        <v>133406000</v>
      </c>
      <c r="D3" s="2">
        <f t="shared" si="0"/>
        <v>7.32</v>
      </c>
      <c r="E3" s="4">
        <v>131631000</v>
      </c>
      <c r="F3" s="4">
        <v>100300000</v>
      </c>
      <c r="G3" s="2">
        <f t="shared" si="1"/>
        <v>5.51</v>
      </c>
      <c r="H3" s="2">
        <v>50.16</v>
      </c>
      <c r="I3" s="4">
        <v>400825000</v>
      </c>
      <c r="J3" s="4">
        <v>209859000</v>
      </c>
      <c r="K3" s="2">
        <f t="shared" si="2"/>
        <v>52.36</v>
      </c>
      <c r="L3" s="2">
        <v>1.48</v>
      </c>
      <c r="M3" s="2">
        <f t="shared" ref="M3" si="3">O3-P3</f>
        <v>144.80000000000001</v>
      </c>
      <c r="N3" s="2">
        <v>36.06</v>
      </c>
      <c r="O3" s="2">
        <v>226</v>
      </c>
      <c r="P3" s="2">
        <v>81.2</v>
      </c>
      <c r="Q3" s="2">
        <v>0</v>
      </c>
    </row>
    <row r="4" spans="1:17">
      <c r="A4" s="2">
        <v>2017</v>
      </c>
      <c r="B4" s="6">
        <v>2378700000</v>
      </c>
      <c r="C4" s="4">
        <v>246200000</v>
      </c>
      <c r="D4" s="2">
        <f>ROUND(C4/B4*100,2)</f>
        <v>10.35</v>
      </c>
      <c r="E4" s="4">
        <v>238400000</v>
      </c>
      <c r="F4" s="4">
        <v>184580000</v>
      </c>
      <c r="G4" s="2">
        <f>ROUND(F4/B4*100,2)</f>
        <v>7.76</v>
      </c>
      <c r="H4" s="2">
        <v>18.38</v>
      </c>
      <c r="I4" s="4">
        <v>578842000</v>
      </c>
      <c r="J4" s="4">
        <v>234335000</v>
      </c>
      <c r="K4" s="2">
        <f>ROUND(J4/I4*100,2)</f>
        <v>40.479999999999997</v>
      </c>
      <c r="L4" s="2">
        <v>1.55</v>
      </c>
      <c r="M4" s="2">
        <f>O4-P4</f>
        <v>55.899999999999977</v>
      </c>
      <c r="N4" s="2">
        <v>57.38</v>
      </c>
      <c r="O4" s="2">
        <v>279.2</v>
      </c>
      <c r="P4" s="2">
        <v>223.3</v>
      </c>
      <c r="Q4" s="2">
        <v>0</v>
      </c>
    </row>
    <row r="5" spans="1:17">
      <c r="A5" s="2">
        <v>2018</v>
      </c>
      <c r="B5" s="6">
        <v>3161700000</v>
      </c>
      <c r="C5" s="4">
        <v>295900000</v>
      </c>
      <c r="D5" s="2">
        <f>ROUND(C5/B5*100,2)</f>
        <v>9.36</v>
      </c>
      <c r="E5" s="4">
        <v>295900000</v>
      </c>
      <c r="F5" s="4">
        <v>236400000</v>
      </c>
      <c r="G5" s="2">
        <f>ROUND(F5/B5*100,2)</f>
        <v>7.48</v>
      </c>
      <c r="H5" s="2">
        <v>23.83</v>
      </c>
      <c r="I5" s="4">
        <v>834300000</v>
      </c>
      <c r="J5" s="4">
        <v>334600000</v>
      </c>
      <c r="K5" s="2">
        <f>ROUND(J5/I5*100,2)</f>
        <v>40.11</v>
      </c>
      <c r="L5" s="2">
        <v>1.63</v>
      </c>
      <c r="M5" s="2">
        <f>O5-P5</f>
        <v>134.60000000000002</v>
      </c>
      <c r="N5" s="2">
        <v>69.86</v>
      </c>
      <c r="O5" s="2">
        <v>338.8</v>
      </c>
      <c r="P5" s="2">
        <v>204.2</v>
      </c>
      <c r="Q5" s="2">
        <v>0</v>
      </c>
    </row>
    <row r="6" spans="1:17">
      <c r="A6" s="2">
        <v>2019</v>
      </c>
      <c r="B6" s="6">
        <v>4717700000</v>
      </c>
      <c r="C6" s="4">
        <v>346200000</v>
      </c>
      <c r="D6" s="2">
        <f>ROUND(C6/B6*100,2)</f>
        <v>7.34</v>
      </c>
      <c r="E6" s="4">
        <v>346200000</v>
      </c>
      <c r="F6" s="4">
        <v>264200000</v>
      </c>
      <c r="G6" s="2">
        <f>ROUND(F6/B6*100,2)</f>
        <v>5.6</v>
      </c>
      <c r="H6" s="2">
        <v>26.9</v>
      </c>
      <c r="I6" s="4">
        <v>1076880000</v>
      </c>
      <c r="J6" s="4">
        <v>237700000</v>
      </c>
      <c r="K6" s="2">
        <f>ROUND(J6/I6*100,2)</f>
        <v>22.07</v>
      </c>
      <c r="L6" s="2">
        <v>1.71</v>
      </c>
      <c r="M6" s="2">
        <f>O6-P6</f>
        <v>-173.19999999999993</v>
      </c>
      <c r="N6" s="2">
        <v>86.79</v>
      </c>
      <c r="O6" s="2">
        <v>377.6</v>
      </c>
      <c r="P6" s="2">
        <v>550.79999999999995</v>
      </c>
      <c r="Q6" s="2">
        <v>0</v>
      </c>
    </row>
    <row r="7" spans="1:17">
      <c r="A7" s="2">
        <v>2020</v>
      </c>
      <c r="B7" s="6">
        <v>6110300000</v>
      </c>
      <c r="C7" s="4">
        <v>426600000</v>
      </c>
      <c r="D7" s="2">
        <f>ROUND(C7/B7*100,2)</f>
        <v>6.98</v>
      </c>
      <c r="E7" s="4">
        <v>348500000</v>
      </c>
      <c r="F7" s="4">
        <v>250700000</v>
      </c>
      <c r="G7" s="2">
        <f>ROUND(F7/B7*100,2)</f>
        <v>4.0999999999999996</v>
      </c>
      <c r="H7" s="2">
        <v>25.29</v>
      </c>
      <c r="I7" s="4">
        <v>1289200000</v>
      </c>
      <c r="J7" s="4">
        <v>460300000</v>
      </c>
      <c r="K7" s="2">
        <f>ROUND(J7/I7*100,2)</f>
        <v>35.700000000000003</v>
      </c>
      <c r="L7" s="2">
        <v>0.28000000000000003</v>
      </c>
      <c r="M7" s="2">
        <f>O7-P7</f>
        <v>592.29999999999995</v>
      </c>
      <c r="N7" s="2">
        <v>140.82</v>
      </c>
      <c r="O7" s="2">
        <v>854</v>
      </c>
      <c r="P7" s="2">
        <v>261.7</v>
      </c>
      <c r="Q7" s="2">
        <v>0</v>
      </c>
    </row>
    <row r="8" spans="1:17">
      <c r="A8" s="2">
        <v>2021</v>
      </c>
      <c r="B8" s="6">
        <v>6167300000</v>
      </c>
      <c r="C8" s="4">
        <v>385500000</v>
      </c>
      <c r="D8" s="2">
        <f>ROUND(C8/B8*100,2)</f>
        <v>6.25</v>
      </c>
      <c r="E8" s="4">
        <v>324000000</v>
      </c>
      <c r="F8" s="4">
        <v>229200000</v>
      </c>
      <c r="G8" s="2">
        <f>ROUND(F8/B8*100,2)</f>
        <v>3.72</v>
      </c>
      <c r="H8" s="2">
        <v>4.6100000000000003</v>
      </c>
      <c r="I8" s="4">
        <v>1496480000</v>
      </c>
      <c r="J8" s="4">
        <v>948700000</v>
      </c>
      <c r="K8" s="2">
        <f>ROUND(J8/I8*100,2)</f>
        <v>63.4</v>
      </c>
      <c r="L8" s="2">
        <v>1.44</v>
      </c>
      <c r="M8" s="2">
        <f>O8-P8</f>
        <v>727.89999999999986</v>
      </c>
      <c r="N8" s="2">
        <v>148.97</v>
      </c>
      <c r="O8" s="2">
        <v>1062.5999999999999</v>
      </c>
      <c r="P8" s="2">
        <v>334.7</v>
      </c>
      <c r="Q8" s="2">
        <v>0</v>
      </c>
    </row>
    <row r="9" spans="1:17">
      <c r="A9" s="2">
        <v>2022</v>
      </c>
      <c r="B9" s="6">
        <v>8563000000</v>
      </c>
      <c r="C9" s="4">
        <v>721200000</v>
      </c>
      <c r="D9" s="2">
        <f>ROUND(C9/B9*100,2)</f>
        <v>8.42</v>
      </c>
      <c r="E9" s="4">
        <v>654700000</v>
      </c>
      <c r="F9" s="4">
        <v>459600000</v>
      </c>
      <c r="G9" s="2">
        <f>ROUND(F9/B9*100,2)</f>
        <v>5.37</v>
      </c>
      <c r="H9" s="2">
        <v>7.17</v>
      </c>
      <c r="I9" s="4">
        <v>2339600000</v>
      </c>
      <c r="J9" s="4">
        <v>1280400000</v>
      </c>
      <c r="K9" s="2">
        <f>ROUND(J9/I9*100,2)</f>
        <v>54.73</v>
      </c>
      <c r="L9" s="2">
        <v>0.35</v>
      </c>
      <c r="M9" s="2">
        <f>O9-P9</f>
        <v>418.80000000000007</v>
      </c>
      <c r="N9" s="2">
        <v>207.79</v>
      </c>
      <c r="O9" s="2">
        <v>1261.7</v>
      </c>
      <c r="P9" s="2">
        <v>842.9</v>
      </c>
      <c r="Q9" s="2">
        <v>1</v>
      </c>
    </row>
    <row r="10" spans="1:17">
      <c r="A10" s="2">
        <v>2023</v>
      </c>
      <c r="B10" s="6">
        <v>10125300000</v>
      </c>
      <c r="C10" s="4">
        <v>509800000</v>
      </c>
      <c r="D10" s="2">
        <f>ROUND(C10/B10*100,2)</f>
        <v>5.03</v>
      </c>
      <c r="E10" s="4">
        <v>440900000</v>
      </c>
      <c r="F10" s="4">
        <v>226700000</v>
      </c>
      <c r="G10" s="2">
        <f>ROUND(F10/B10*100,2)</f>
        <v>2.2400000000000002</v>
      </c>
      <c r="H10" s="2">
        <v>2.76</v>
      </c>
      <c r="I10" s="4">
        <v>2633400000</v>
      </c>
      <c r="J10" s="4">
        <v>1548900000</v>
      </c>
      <c r="K10" s="2">
        <f>ROUND(J10/I10*100,2)</f>
        <v>58.82</v>
      </c>
      <c r="L10" s="2">
        <v>0.8</v>
      </c>
      <c r="M10" s="2">
        <f>O10-P10</f>
        <v>759.6</v>
      </c>
      <c r="N10" s="2">
        <v>117.84</v>
      </c>
      <c r="O10" s="2">
        <v>1080.5</v>
      </c>
      <c r="P10" s="2">
        <v>320.89999999999998</v>
      </c>
      <c r="Q10" s="2">
        <v>0</v>
      </c>
    </row>
    <row r="11" spans="1:17">
      <c r="A11" s="2">
        <v>2024</v>
      </c>
      <c r="B11" s="6">
        <v>10542000000</v>
      </c>
      <c r="C11" s="4">
        <v>927000000</v>
      </c>
      <c r="D11" s="2">
        <f>ROUND(C11/B11*100,2)</f>
        <v>8.7899999999999991</v>
      </c>
      <c r="E11" s="4">
        <v>811000000</v>
      </c>
      <c r="F11" s="4">
        <v>605000000</v>
      </c>
      <c r="G11" s="2">
        <f>ROUND(F11/B11*100,2)</f>
        <v>5.74</v>
      </c>
      <c r="H11" s="2">
        <v>10.45</v>
      </c>
      <c r="I11" s="4">
        <v>2869000000</v>
      </c>
      <c r="J11" s="4">
        <v>1102000000</v>
      </c>
      <c r="K11" s="2">
        <f>ROUND(J11/I11*100,2)</f>
        <v>38.409999999999997</v>
      </c>
      <c r="L11" s="2">
        <v>0.9</v>
      </c>
      <c r="M11" s="2">
        <f>O11-P11</f>
        <v>596</v>
      </c>
      <c r="N11" s="2">
        <v>146.55000000000001</v>
      </c>
      <c r="O11" s="2">
        <v>1140</v>
      </c>
      <c r="P11" s="2">
        <v>544</v>
      </c>
      <c r="Q11" s="2">
        <v>0</v>
      </c>
    </row>
    <row r="12" spans="1:17">
      <c r="A12" s="2">
        <v>2025</v>
      </c>
      <c r="B12" s="6">
        <v>11458000000</v>
      </c>
      <c r="C12" s="4">
        <v>903000000</v>
      </c>
      <c r="D12" s="2">
        <f>ROUND(C12/B12*100,2)</f>
        <v>7.88</v>
      </c>
      <c r="E12" s="4">
        <v>715000000</v>
      </c>
      <c r="F12" s="4">
        <v>540000000</v>
      </c>
      <c r="G12" s="2">
        <f>ROUND(F12/B12*100,2)</f>
        <v>4.71</v>
      </c>
      <c r="H12" s="2">
        <v>9.5</v>
      </c>
      <c r="I12" s="4">
        <v>3372008000</v>
      </c>
      <c r="J12" s="4">
        <v>695000000</v>
      </c>
      <c r="K12" s="2">
        <f>ROUND(J12/I12*100,2)</f>
        <v>20.61</v>
      </c>
      <c r="L12" s="2">
        <v>1</v>
      </c>
      <c r="M12" s="2">
        <f>O12-P12</f>
        <v>-266</v>
      </c>
      <c r="N12" s="2">
        <v>123.7</v>
      </c>
      <c r="O12" s="2">
        <v>1228</v>
      </c>
      <c r="P12" s="2">
        <v>1494</v>
      </c>
      <c r="Q12" s="2">
        <v>0</v>
      </c>
    </row>
    <row r="13" spans="1:17">
      <c r="A13" s="2">
        <v>2015.5</v>
      </c>
      <c r="B13" s="6">
        <v>809901000</v>
      </c>
      <c r="C13" s="4">
        <v>45720000</v>
      </c>
      <c r="D13" s="2">
        <f t="shared" ref="D13:D14" si="4">ROUND(C13/B13*100,2)</f>
        <v>5.65</v>
      </c>
      <c r="E13" s="4">
        <v>44708000</v>
      </c>
      <c r="F13" s="4">
        <v>34414000</v>
      </c>
      <c r="G13" s="2">
        <f t="shared" ref="G13:G14" si="5">ROUND(F13/B13*100,2)</f>
        <v>4.25</v>
      </c>
      <c r="H13" s="2">
        <v>17.62</v>
      </c>
      <c r="I13" s="4">
        <v>329900000</v>
      </c>
      <c r="J13" s="4">
        <v>154818000</v>
      </c>
      <c r="K13" s="2">
        <f t="shared" ref="K13:K14" si="6">ROUND(J13/I13*100,2)</f>
        <v>46.93</v>
      </c>
      <c r="L13" s="2">
        <v>1.41</v>
      </c>
      <c r="M13" s="2">
        <f>O13-P13</f>
        <v>24.700000000000003</v>
      </c>
      <c r="N13" s="2">
        <v>22</v>
      </c>
      <c r="O13" s="2">
        <v>72</v>
      </c>
      <c r="P13" s="2">
        <v>47.3</v>
      </c>
      <c r="Q13" s="2">
        <v>0</v>
      </c>
    </row>
    <row r="14" spans="1:17">
      <c r="A14" s="2">
        <v>2016.5</v>
      </c>
      <c r="B14" s="6">
        <v>970056500</v>
      </c>
      <c r="C14" s="4">
        <v>77650000</v>
      </c>
      <c r="D14" s="2">
        <f t="shared" si="4"/>
        <v>8</v>
      </c>
      <c r="E14" s="4">
        <v>77411000</v>
      </c>
      <c r="F14" s="4">
        <v>60019000</v>
      </c>
      <c r="G14" s="2">
        <f t="shared" si="5"/>
        <v>6.19</v>
      </c>
      <c r="H14" s="2">
        <v>29.83</v>
      </c>
      <c r="I14" s="4">
        <v>460100000</v>
      </c>
      <c r="J14" s="4">
        <v>240044000</v>
      </c>
      <c r="K14" s="2">
        <f t="shared" si="6"/>
        <v>52.17</v>
      </c>
      <c r="L14" s="2">
        <v>1.48</v>
      </c>
      <c r="M14" s="2">
        <f t="shared" ref="M14:M15" si="7">O14-P14</f>
        <v>21.399999999999991</v>
      </c>
      <c r="N14" s="2">
        <v>36.82</v>
      </c>
      <c r="O14" s="2">
        <v>72.599999999999994</v>
      </c>
      <c r="P14" s="2">
        <v>51.2</v>
      </c>
      <c r="Q14" s="2">
        <v>0</v>
      </c>
    </row>
    <row r="15" spans="1:17">
      <c r="A15" s="2">
        <v>2017.5</v>
      </c>
      <c r="B15" s="6">
        <v>1362000000</v>
      </c>
      <c r="C15" s="4">
        <v>102100000</v>
      </c>
      <c r="D15" s="2">
        <f t="shared" ref="D15:D16" si="8">ROUND(C15/B15*100,2)</f>
        <v>7.5</v>
      </c>
      <c r="E15" s="4">
        <v>102000000</v>
      </c>
      <c r="F15" s="4">
        <v>81100000</v>
      </c>
      <c r="G15" s="2">
        <f>ROUND(F15/B15*100,2)</f>
        <v>5.95</v>
      </c>
      <c r="H15" s="2">
        <v>8.0500000000000007</v>
      </c>
      <c r="I15" s="4">
        <v>652000000</v>
      </c>
      <c r="J15" s="4">
        <v>230700000</v>
      </c>
      <c r="K15" s="2">
        <f t="shared" ref="K15:K16" si="9">ROUND(J15/I15*100,2)</f>
        <v>35.380000000000003</v>
      </c>
      <c r="L15" s="2">
        <v>0.26</v>
      </c>
      <c r="M15" s="2">
        <f>O15-P15</f>
        <v>9.2000000000000028</v>
      </c>
      <c r="N15" s="2">
        <v>78.349999999999994</v>
      </c>
      <c r="O15" s="2">
        <v>80.3</v>
      </c>
      <c r="P15" s="2">
        <v>71.099999999999994</v>
      </c>
      <c r="Q15" s="2">
        <v>0</v>
      </c>
    </row>
    <row r="16" spans="1:17">
      <c r="A16" s="2">
        <v>2018.5</v>
      </c>
      <c r="B16" s="6">
        <v>1846700000</v>
      </c>
      <c r="C16" s="4">
        <v>123900000</v>
      </c>
      <c r="D16" s="2">
        <f t="shared" si="8"/>
        <v>6.71</v>
      </c>
      <c r="E16" s="4">
        <v>121600000</v>
      </c>
      <c r="F16" s="4">
        <v>95400000</v>
      </c>
      <c r="G16" s="2">
        <f>ROUND(F16/B16*100,2)</f>
        <v>5.17</v>
      </c>
      <c r="H16" s="2">
        <v>10.050000000000001</v>
      </c>
      <c r="I16" s="4">
        <v>918000000</v>
      </c>
      <c r="J16" s="4">
        <v>229800000</v>
      </c>
      <c r="K16" s="2">
        <f t="shared" si="9"/>
        <v>25.03</v>
      </c>
      <c r="L16" s="2">
        <v>0.27</v>
      </c>
      <c r="M16" s="2">
        <f>O16-P16</f>
        <v>-395.1</v>
      </c>
      <c r="N16" s="2">
        <v>75.5</v>
      </c>
      <c r="O16" s="2">
        <v>75.599999999999994</v>
      </c>
      <c r="P16" s="2">
        <v>470.7</v>
      </c>
      <c r="Q16" s="2">
        <v>0</v>
      </c>
    </row>
    <row r="17" spans="1:17">
      <c r="A17" s="2">
        <v>2019.5</v>
      </c>
      <c r="B17" s="6">
        <v>2721200000</v>
      </c>
      <c r="C17" s="4">
        <v>171100000</v>
      </c>
      <c r="D17" s="2">
        <f t="shared" ref="D17:D18" si="10">ROUND(C17/B17*100,2)</f>
        <v>6.29</v>
      </c>
      <c r="E17" s="4">
        <v>129900000</v>
      </c>
      <c r="F17" s="4">
        <v>98000000</v>
      </c>
      <c r="G17" s="2">
        <f>ROUND(F17/B17*100,2)</f>
        <v>3.6</v>
      </c>
      <c r="H17" s="2">
        <v>9.67</v>
      </c>
      <c r="I17" s="4">
        <v>1227300000</v>
      </c>
      <c r="J17" s="4">
        <v>323500000</v>
      </c>
      <c r="K17" s="2">
        <f t="shared" ref="K17:K18" si="11">ROUND(J17/I17*100,2)</f>
        <v>26.36</v>
      </c>
      <c r="L17" s="2">
        <v>0.28000000000000003</v>
      </c>
      <c r="M17" s="2">
        <f t="shared" ref="M17:M21" si="12">O17-P17</f>
        <v>162.5</v>
      </c>
      <c r="N17" s="2">
        <v>104.4</v>
      </c>
      <c r="O17" s="2">
        <v>319.3</v>
      </c>
      <c r="P17" s="2">
        <v>156.80000000000001</v>
      </c>
      <c r="Q17" s="2">
        <v>0</v>
      </c>
    </row>
    <row r="18" spans="1:17">
      <c r="A18" s="2">
        <v>2020.5</v>
      </c>
      <c r="B18" s="6">
        <v>2544900000</v>
      </c>
      <c r="C18" s="4">
        <v>75000000</v>
      </c>
      <c r="D18" s="2">
        <f t="shared" si="10"/>
        <v>2.95</v>
      </c>
      <c r="E18" s="4">
        <v>41500000</v>
      </c>
      <c r="F18" s="4">
        <v>27100000</v>
      </c>
      <c r="G18" s="2">
        <f>ROUND(F18/B18*100,2)</f>
        <v>1.06</v>
      </c>
      <c r="H18" s="2">
        <v>3.85</v>
      </c>
      <c r="I18" s="4">
        <v>1341100000</v>
      </c>
      <c r="J18" s="4">
        <v>1068800000</v>
      </c>
      <c r="K18" s="2">
        <f t="shared" si="11"/>
        <v>79.7</v>
      </c>
      <c r="L18" s="2">
        <v>1.48</v>
      </c>
      <c r="M18" s="2">
        <f t="shared" si="12"/>
        <v>479.90000000000003</v>
      </c>
      <c r="N18" s="2">
        <v>130.27000000000001</v>
      </c>
      <c r="O18" s="2">
        <v>563.1</v>
      </c>
      <c r="P18" s="2">
        <v>83.2</v>
      </c>
      <c r="Q18" s="2">
        <v>0</v>
      </c>
    </row>
    <row r="19" spans="1:17">
      <c r="A19" s="2">
        <v>2021.5</v>
      </c>
      <c r="B19" s="6">
        <v>3885800000</v>
      </c>
      <c r="C19" s="4">
        <v>396800000</v>
      </c>
      <c r="D19" s="2">
        <f t="shared" ref="D19:D20" si="13">ROUND(C19/B19*100,2)</f>
        <v>10.210000000000001</v>
      </c>
      <c r="E19" s="4">
        <v>364600000</v>
      </c>
      <c r="F19" s="4">
        <v>276800000</v>
      </c>
      <c r="G19" s="2">
        <f>ROUND(F19/B19*100,2)</f>
        <v>7.12</v>
      </c>
      <c r="H19" s="2">
        <v>4.4400000000000004</v>
      </c>
      <c r="I19" s="4">
        <v>2177700000</v>
      </c>
      <c r="J19" s="4">
        <v>1259000000</v>
      </c>
      <c r="K19" s="2">
        <f t="shared" ref="K19:K20" si="14">ROUND(J19/I19*100,2)</f>
        <v>57.81</v>
      </c>
      <c r="L19" s="2">
        <v>0</v>
      </c>
      <c r="M19" s="2">
        <f>O19-P19</f>
        <v>7.6999999999999886</v>
      </c>
      <c r="N19" s="2">
        <v>173.65</v>
      </c>
      <c r="O19" s="2">
        <v>461.9</v>
      </c>
      <c r="P19" s="2">
        <v>454.2</v>
      </c>
      <c r="Q19" s="2">
        <v>0</v>
      </c>
    </row>
    <row r="20" spans="1:17">
      <c r="A20" s="2">
        <v>2022.5</v>
      </c>
      <c r="B20" s="6">
        <v>4418000000</v>
      </c>
      <c r="C20" s="4">
        <v>332900000</v>
      </c>
      <c r="D20" s="2">
        <f t="shared" si="13"/>
        <v>7.54</v>
      </c>
      <c r="E20" s="4">
        <v>298300000</v>
      </c>
      <c r="F20" s="4">
        <v>216300000</v>
      </c>
      <c r="G20" s="2">
        <f>ROUND(F20/B20*100,2)</f>
        <v>4.9000000000000004</v>
      </c>
      <c r="H20" s="2">
        <v>3.85</v>
      </c>
      <c r="I20" s="4">
        <v>2661200000</v>
      </c>
      <c r="J20" s="4">
        <v>1096100000</v>
      </c>
      <c r="K20" s="2">
        <f t="shared" si="14"/>
        <v>41.19</v>
      </c>
      <c r="L20" s="2">
        <v>0.35</v>
      </c>
      <c r="M20" s="2">
        <f>O20-P20</f>
        <v>14.600000000000023</v>
      </c>
      <c r="N20" s="2">
        <v>149.30000000000001</v>
      </c>
      <c r="O20" s="2">
        <v>169.8</v>
      </c>
      <c r="P20" s="2">
        <v>155.19999999999999</v>
      </c>
      <c r="Q20" s="2">
        <v>1</v>
      </c>
    </row>
    <row r="21" spans="1:17">
      <c r="A21" s="2">
        <v>2023.5</v>
      </c>
      <c r="B21" s="6">
        <v>4783800000</v>
      </c>
      <c r="C21" s="4">
        <v>374800000</v>
      </c>
      <c r="D21" s="2">
        <f t="shared" ref="D21" si="15">ROUND(C21/B21*100,2)</f>
        <v>7.83</v>
      </c>
      <c r="E21" s="4">
        <v>353700000</v>
      </c>
      <c r="F21" s="4">
        <v>257500000</v>
      </c>
      <c r="G21" s="2">
        <f>ROUND(F21/B21*100,2)</f>
        <v>5.38</v>
      </c>
      <c r="H21" s="2">
        <v>4.6500000000000004</v>
      </c>
      <c r="I21" s="4">
        <v>2868400000</v>
      </c>
      <c r="J21" s="4">
        <v>1343900000</v>
      </c>
      <c r="K21" s="2">
        <f t="shared" ref="K21" si="16">ROUND(J21/I21*100,2)</f>
        <v>46.85</v>
      </c>
      <c r="L21" s="2">
        <v>0.3</v>
      </c>
      <c r="M21" s="2">
        <f>O21-P21</f>
        <v>46</v>
      </c>
      <c r="N21" s="2">
        <v>163.46</v>
      </c>
      <c r="O21" s="2">
        <v>296.7</v>
      </c>
      <c r="P21" s="2">
        <v>250.7</v>
      </c>
      <c r="Q21" s="2">
        <v>0</v>
      </c>
    </row>
    <row r="22" spans="1:17">
      <c r="A22" s="2">
        <v>2024.5</v>
      </c>
      <c r="B22" s="6">
        <v>5032000000</v>
      </c>
      <c r="C22" s="4">
        <v>292200000</v>
      </c>
      <c r="D22" s="2">
        <f t="shared" ref="D22" si="17">ROUND(C22/B22*100,2)</f>
        <v>5.81</v>
      </c>
      <c r="E22" s="4">
        <v>126300000</v>
      </c>
      <c r="F22" s="4">
        <v>52200000</v>
      </c>
      <c r="G22" s="2">
        <f>ROUND(F22/B22*100,2)</f>
        <v>1.04</v>
      </c>
      <c r="H22" s="2">
        <v>0.42</v>
      </c>
      <c r="I22" s="4">
        <v>2837500000</v>
      </c>
      <c r="J22" s="4">
        <v>879600000</v>
      </c>
      <c r="K22" s="2">
        <f t="shared" ref="K22" si="18">ROUND(J22/I22*100,2)</f>
        <v>31</v>
      </c>
      <c r="L22" s="2">
        <v>0.33</v>
      </c>
      <c r="M22" s="2">
        <f>O22-P22</f>
        <v>-726.1</v>
      </c>
      <c r="N22" s="2">
        <v>119.03</v>
      </c>
      <c r="O22" s="2">
        <v>319.10000000000002</v>
      </c>
      <c r="P22" s="2">
        <v>1045.2</v>
      </c>
      <c r="Q22" s="2">
        <v>0</v>
      </c>
    </row>
    <row r="27" spans="1:17">
      <c r="A27" s="2"/>
      <c r="B27" s="2"/>
      <c r="C27" s="2"/>
      <c r="D27" s="2"/>
      <c r="E27" s="2"/>
      <c r="F27" s="2"/>
      <c r="G27" s="3"/>
      <c r="I27" s="3"/>
      <c r="J27" s="2"/>
      <c r="L27" s="2"/>
      <c r="M27" s="2"/>
    </row>
    <row r="28" spans="1:17">
      <c r="A28" s="2"/>
      <c r="B28" s="2"/>
      <c r="C28" s="2"/>
      <c r="D28" s="2"/>
      <c r="E28" s="2"/>
      <c r="F28" s="2"/>
      <c r="G28" s="3"/>
      <c r="I28" s="3"/>
      <c r="J28" s="2"/>
      <c r="L28" s="2"/>
      <c r="M28" s="2"/>
    </row>
    <row r="29" spans="1:17">
      <c r="A29" s="2"/>
      <c r="B29" s="2"/>
      <c r="C29" s="2"/>
      <c r="D29" s="2"/>
      <c r="E29" s="2"/>
      <c r="F29" s="2"/>
      <c r="G29" s="3"/>
      <c r="I29" s="3"/>
      <c r="J29" s="2"/>
      <c r="L29" s="2"/>
      <c r="M29" s="2"/>
    </row>
    <row r="31" spans="1:17">
      <c r="A31" s="2"/>
      <c r="B31" s="2"/>
      <c r="C31" s="2"/>
      <c r="D31" s="2"/>
      <c r="E31" s="2"/>
      <c r="F31" s="2"/>
      <c r="G31" s="3"/>
      <c r="I31" s="3"/>
      <c r="J31" s="2"/>
      <c r="L31" s="2"/>
      <c r="M31" s="2"/>
    </row>
    <row r="32" spans="1:17">
      <c r="A32" s="2"/>
      <c r="B32" s="2"/>
      <c r="C32" s="2"/>
      <c r="D32" s="2"/>
      <c r="E32" s="2"/>
      <c r="F32" s="2"/>
      <c r="G32" s="3"/>
      <c r="I32" s="3"/>
      <c r="J32" s="2"/>
      <c r="L32" s="2"/>
      <c r="M32" s="2"/>
    </row>
    <row r="33" spans="1:14">
      <c r="A33" s="2"/>
      <c r="B33" s="2"/>
      <c r="C33" s="2"/>
      <c r="D33" s="2"/>
      <c r="E33" s="2"/>
      <c r="F33" s="2"/>
      <c r="G33" s="3"/>
      <c r="I33" s="3"/>
      <c r="J33" s="2"/>
      <c r="L33" s="2"/>
      <c r="M33" s="2"/>
    </row>
    <row r="34" spans="1:14">
      <c r="A34" s="2"/>
      <c r="B34" s="2"/>
      <c r="C34" s="2"/>
      <c r="D34" s="2"/>
      <c r="E34" s="2"/>
      <c r="F34" s="2"/>
      <c r="G34" s="3"/>
      <c r="I34" s="2"/>
      <c r="J34" s="2"/>
      <c r="L34" s="2"/>
      <c r="M34" s="2"/>
    </row>
    <row r="35" spans="1:14">
      <c r="A35" s="2"/>
      <c r="B35" s="2"/>
      <c r="C35" s="2"/>
      <c r="D35" s="2"/>
      <c r="E35" s="2"/>
      <c r="F35" s="2"/>
      <c r="G35" s="3"/>
      <c r="I35" s="2"/>
      <c r="J35" s="2"/>
      <c r="L35" s="2"/>
      <c r="M35" s="2"/>
      <c r="N35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B35B-4422-43CD-BBD4-2F865077DAF3}">
  <dimension ref="A1:Q57"/>
  <sheetViews>
    <sheetView workbookViewId="0">
      <selection activeCell="O12" sqref="O12"/>
    </sheetView>
  </sheetViews>
  <sheetFormatPr defaultRowHeight="15"/>
  <cols>
    <col min="2" max="2" width="10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9" bestFit="1" customWidth="1"/>
    <col min="9" max="9" width="11.42578125" bestFit="1" customWidth="1"/>
    <col min="10" max="10" width="13.5703125" bestFit="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7109375" bestFit="1" customWidth="1"/>
    <col min="17" max="17" width="11.5703125" bestFit="1" customWidth="1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12943000000</v>
      </c>
      <c r="C2" s="4">
        <v>1080000000</v>
      </c>
      <c r="D2" s="2">
        <f t="shared" ref="D2:D12" si="0">ROUND(C2/B2*100,2)</f>
        <v>8.34</v>
      </c>
      <c r="E2" s="4">
        <v>1020000000</v>
      </c>
      <c r="F2" s="4">
        <v>783000000</v>
      </c>
      <c r="G2" s="2">
        <f t="shared" ref="G2:G22" si="1">ROUND(F2/B2*100,2)</f>
        <v>6.05</v>
      </c>
      <c r="H2" s="2">
        <v>96.5</v>
      </c>
      <c r="I2" s="4">
        <v>6753000000</v>
      </c>
      <c r="J2" s="4">
        <v>399000000</v>
      </c>
      <c r="K2" s="2">
        <f t="shared" ref="K2:K12" si="2">ROUND(J2/I2*100,2)</f>
        <v>5.91</v>
      </c>
      <c r="L2" s="2">
        <v>34</v>
      </c>
      <c r="M2" s="2">
        <f>O2-P2</f>
        <v>767</v>
      </c>
      <c r="N2" s="2">
        <v>2853.61</v>
      </c>
      <c r="O2" s="2">
        <v>1439</v>
      </c>
      <c r="P2" s="2">
        <v>672</v>
      </c>
      <c r="Q2" s="2">
        <v>0</v>
      </c>
    </row>
    <row r="3" spans="1:17">
      <c r="A3" s="2">
        <v>2016</v>
      </c>
      <c r="B3" s="6">
        <v>12800000000</v>
      </c>
      <c r="C3" s="4">
        <v>937000000</v>
      </c>
      <c r="D3" s="2">
        <f t="shared" si="0"/>
        <v>7.32</v>
      </c>
      <c r="E3" s="4">
        <v>707000000</v>
      </c>
      <c r="F3" s="4">
        <v>516000000</v>
      </c>
      <c r="G3" s="2">
        <f t="shared" si="1"/>
        <v>4.03</v>
      </c>
      <c r="H3" s="2">
        <v>66.8</v>
      </c>
      <c r="I3" s="4">
        <v>6511000000</v>
      </c>
      <c r="J3" s="4">
        <v>585000000</v>
      </c>
      <c r="K3" s="2">
        <f t="shared" si="2"/>
        <v>8.98</v>
      </c>
      <c r="L3" s="2">
        <v>26.45</v>
      </c>
      <c r="M3" s="2">
        <f t="shared" ref="M3:M11" si="3">O3-P3</f>
        <v>627</v>
      </c>
      <c r="N3" s="2">
        <v>3274.5</v>
      </c>
      <c r="O3" s="2">
        <v>1175</v>
      </c>
      <c r="P3" s="2">
        <v>548</v>
      </c>
      <c r="Q3" s="2">
        <v>0</v>
      </c>
    </row>
    <row r="4" spans="1:17">
      <c r="A4" s="2">
        <v>2017</v>
      </c>
      <c r="B4" s="6">
        <v>13400000000</v>
      </c>
      <c r="C4" s="4">
        <v>1071000000</v>
      </c>
      <c r="D4" s="2">
        <f t="shared" si="0"/>
        <v>7.99</v>
      </c>
      <c r="E4" s="4">
        <v>1071000000</v>
      </c>
      <c r="F4" s="4">
        <v>850000000</v>
      </c>
      <c r="G4" s="2">
        <f t="shared" si="1"/>
        <v>6.34</v>
      </c>
      <c r="H4" s="2">
        <v>103.4</v>
      </c>
      <c r="I4" s="4">
        <v>7122000000</v>
      </c>
      <c r="J4" s="4">
        <v>462000000</v>
      </c>
      <c r="K4" s="2">
        <f t="shared" si="2"/>
        <v>6.49</v>
      </c>
      <c r="L4" s="2">
        <v>36.75</v>
      </c>
      <c r="M4" s="2">
        <f t="shared" si="3"/>
        <v>554</v>
      </c>
      <c r="N4" s="2">
        <v>2705.27</v>
      </c>
      <c r="O4" s="2">
        <v>1310</v>
      </c>
      <c r="P4" s="2">
        <v>756</v>
      </c>
      <c r="Q4" s="2">
        <v>0</v>
      </c>
    </row>
    <row r="5" spans="1:17">
      <c r="A5" s="2">
        <v>2018</v>
      </c>
      <c r="B5" s="6">
        <v>15400000000</v>
      </c>
      <c r="C5" s="4">
        <v>1363000000</v>
      </c>
      <c r="D5" s="2">
        <f t="shared" si="0"/>
        <v>8.85</v>
      </c>
      <c r="E5" s="4">
        <v>1310000000</v>
      </c>
      <c r="F5" s="4">
        <v>945000000</v>
      </c>
      <c r="G5" s="2">
        <f t="shared" si="1"/>
        <v>6.14</v>
      </c>
      <c r="H5" s="2">
        <v>127.5</v>
      </c>
      <c r="I5" s="4">
        <v>8412000000</v>
      </c>
      <c r="J5" s="4">
        <v>1386000000</v>
      </c>
      <c r="K5" s="2">
        <f t="shared" si="2"/>
        <v>16.48</v>
      </c>
      <c r="L5" s="2">
        <v>41</v>
      </c>
      <c r="M5" s="2">
        <f t="shared" si="3"/>
        <v>1274</v>
      </c>
      <c r="N5" s="2">
        <v>3101.6</v>
      </c>
      <c r="O5" s="2">
        <v>1641</v>
      </c>
      <c r="P5" s="2">
        <v>367</v>
      </c>
      <c r="Q5" s="2">
        <v>0</v>
      </c>
    </row>
    <row r="6" spans="1:17">
      <c r="A6" s="2">
        <v>2019</v>
      </c>
      <c r="B6" s="6">
        <v>15600000000</v>
      </c>
      <c r="C6" s="4">
        <v>1344000000</v>
      </c>
      <c r="D6" s="2">
        <f t="shared" si="0"/>
        <v>8.6199999999999992</v>
      </c>
      <c r="E6" s="4">
        <v>1279000000</v>
      </c>
      <c r="F6" s="4">
        <v>102200000</v>
      </c>
      <c r="G6" s="2">
        <f t="shared" si="1"/>
        <v>0.66</v>
      </c>
      <c r="H6" s="2">
        <v>134.9</v>
      </c>
      <c r="I6" s="4">
        <v>9296000000</v>
      </c>
      <c r="J6" s="4">
        <v>1271000000</v>
      </c>
      <c r="K6" s="2">
        <f t="shared" si="2"/>
        <v>13.67</v>
      </c>
      <c r="L6" s="2">
        <v>45</v>
      </c>
      <c r="M6" s="2">
        <f t="shared" si="3"/>
        <v>430</v>
      </c>
      <c r="N6" s="2">
        <v>2358.71</v>
      </c>
      <c r="O6" s="2">
        <v>1430</v>
      </c>
      <c r="P6" s="2">
        <v>1000</v>
      </c>
      <c r="Q6" s="2">
        <v>0</v>
      </c>
    </row>
    <row r="7" spans="1:17">
      <c r="A7" s="2">
        <v>2020</v>
      </c>
      <c r="B7" s="6">
        <v>15800000000</v>
      </c>
      <c r="C7" s="4">
        <v>1282000000</v>
      </c>
      <c r="D7" s="2">
        <f t="shared" si="0"/>
        <v>8.11</v>
      </c>
      <c r="E7" s="4">
        <v>1117300000</v>
      </c>
      <c r="F7" s="4">
        <v>815300000</v>
      </c>
      <c r="G7" s="2">
        <f t="shared" si="1"/>
        <v>5.16</v>
      </c>
      <c r="H7" s="2">
        <v>111.1</v>
      </c>
      <c r="I7" s="4">
        <v>9550000000</v>
      </c>
      <c r="J7" s="4">
        <v>1358000000</v>
      </c>
      <c r="K7" s="2">
        <f t="shared" si="2"/>
        <v>14.22</v>
      </c>
      <c r="L7" s="2">
        <v>46.3</v>
      </c>
      <c r="M7" s="2">
        <f t="shared" si="3"/>
        <v>778</v>
      </c>
      <c r="N7" s="2">
        <v>2365.5500000000002</v>
      </c>
      <c r="O7" s="2">
        <v>1509</v>
      </c>
      <c r="P7" s="2">
        <v>731</v>
      </c>
      <c r="Q7" s="2">
        <v>0</v>
      </c>
    </row>
    <row r="8" spans="1:17">
      <c r="A8" s="2">
        <v>2021</v>
      </c>
      <c r="B8" s="6">
        <v>13900000000</v>
      </c>
      <c r="C8" s="4">
        <v>810000000</v>
      </c>
      <c r="D8" s="2">
        <f t="shared" si="0"/>
        <v>5.83</v>
      </c>
      <c r="E8" s="4">
        <v>686000000</v>
      </c>
      <c r="F8" s="4">
        <v>423000000</v>
      </c>
      <c r="G8" s="2">
        <f t="shared" si="1"/>
        <v>3.04</v>
      </c>
      <c r="H8" s="2">
        <v>57.6</v>
      </c>
      <c r="I8" s="4">
        <v>9439000000</v>
      </c>
      <c r="J8" s="4">
        <v>1909000000</v>
      </c>
      <c r="K8" s="2">
        <f t="shared" si="2"/>
        <v>20.22</v>
      </c>
      <c r="L8" s="2">
        <v>0</v>
      </c>
      <c r="M8" s="2">
        <f t="shared" si="3"/>
        <v>1235</v>
      </c>
      <c r="N8" s="2">
        <v>1971.63</v>
      </c>
      <c r="O8" s="2">
        <v>1753</v>
      </c>
      <c r="P8" s="2">
        <v>518</v>
      </c>
      <c r="Q8" s="2">
        <v>0</v>
      </c>
    </row>
    <row r="9" spans="1:17">
      <c r="A9" s="2">
        <v>2022</v>
      </c>
      <c r="B9" s="6">
        <v>13900000000</v>
      </c>
      <c r="C9" s="4">
        <v>808000000</v>
      </c>
      <c r="D9" s="2">
        <f t="shared" si="0"/>
        <v>5.81</v>
      </c>
      <c r="E9" s="4">
        <v>725000000</v>
      </c>
      <c r="F9" s="4">
        <v>469700000</v>
      </c>
      <c r="G9" s="2">
        <f t="shared" si="1"/>
        <v>3.38</v>
      </c>
      <c r="H9" s="2">
        <v>60.5</v>
      </c>
      <c r="I9" s="4">
        <v>10040000000</v>
      </c>
      <c r="J9" s="4">
        <v>2189000000</v>
      </c>
      <c r="K9" s="2">
        <f t="shared" si="2"/>
        <v>21.8</v>
      </c>
      <c r="L9" s="2">
        <v>26.7</v>
      </c>
      <c r="M9" s="2">
        <f t="shared" si="3"/>
        <v>852</v>
      </c>
      <c r="N9" s="2">
        <v>1955.47</v>
      </c>
      <c r="O9" s="2">
        <v>1413</v>
      </c>
      <c r="P9" s="2">
        <v>561</v>
      </c>
      <c r="Q9" s="2">
        <v>0</v>
      </c>
    </row>
    <row r="10" spans="1:17">
      <c r="A10" s="2">
        <v>2023</v>
      </c>
      <c r="B10" s="6">
        <v>17000000000</v>
      </c>
      <c r="C10" s="4">
        <v>1178000000</v>
      </c>
      <c r="D10" s="2">
        <f t="shared" si="0"/>
        <v>6.93</v>
      </c>
      <c r="E10" s="4">
        <v>1076000000</v>
      </c>
      <c r="F10" s="4">
        <v>775000000</v>
      </c>
      <c r="G10" s="2">
        <f t="shared" si="1"/>
        <v>4.5599999999999996</v>
      </c>
      <c r="H10" s="2">
        <v>88.6</v>
      </c>
      <c r="I10" s="4">
        <v>11544000000</v>
      </c>
      <c r="J10" s="4">
        <v>1995000000</v>
      </c>
      <c r="K10" s="2">
        <f t="shared" si="2"/>
        <v>17.28</v>
      </c>
      <c r="L10" s="2">
        <v>43.7</v>
      </c>
      <c r="M10" s="2">
        <f t="shared" si="3"/>
        <v>409</v>
      </c>
      <c r="N10" s="2">
        <v>1503.08</v>
      </c>
      <c r="O10" s="2">
        <v>1153</v>
      </c>
      <c r="P10" s="2">
        <v>744</v>
      </c>
      <c r="Q10" s="2">
        <v>0</v>
      </c>
    </row>
    <row r="11" spans="1:17">
      <c r="A11" s="2">
        <v>2024</v>
      </c>
      <c r="B11" s="6">
        <v>19800000000</v>
      </c>
      <c r="C11" s="4">
        <v>1383000000</v>
      </c>
      <c r="D11" s="2">
        <f t="shared" si="0"/>
        <v>6.98</v>
      </c>
      <c r="E11" s="4">
        <v>1340000000</v>
      </c>
      <c r="F11" s="4">
        <v>994000000</v>
      </c>
      <c r="G11" s="2">
        <f t="shared" si="1"/>
        <v>5.0199999999999996</v>
      </c>
      <c r="H11" s="2">
        <v>134.19999999999999</v>
      </c>
      <c r="I11" s="4">
        <v>11193000000</v>
      </c>
      <c r="J11" s="4">
        <v>1388000000</v>
      </c>
      <c r="K11" s="2">
        <f t="shared" si="2"/>
        <v>12.4</v>
      </c>
      <c r="L11" s="2">
        <v>60</v>
      </c>
      <c r="M11" s="2">
        <f t="shared" si="3"/>
        <v>751</v>
      </c>
      <c r="N11" s="2">
        <v>2120.39</v>
      </c>
      <c r="O11" s="2">
        <v>1654</v>
      </c>
      <c r="P11" s="2">
        <v>903</v>
      </c>
      <c r="Q11" s="2">
        <v>0</v>
      </c>
    </row>
    <row r="12" spans="1:17">
      <c r="A12" s="2">
        <v>2025</v>
      </c>
      <c r="B12" s="6">
        <v>20100000000</v>
      </c>
      <c r="C12" s="4">
        <v>1957000000</v>
      </c>
      <c r="D12" s="2">
        <f t="shared" si="0"/>
        <v>9.74</v>
      </c>
      <c r="E12" s="4">
        <v>1917000000</v>
      </c>
      <c r="F12" s="4">
        <v>1464000000</v>
      </c>
      <c r="G12" s="2">
        <f t="shared" si="1"/>
        <v>7.28</v>
      </c>
      <c r="H12" s="2">
        <v>193.7</v>
      </c>
      <c r="I12" s="4">
        <v>11278000000</v>
      </c>
      <c r="J12" s="4">
        <v>1235000000</v>
      </c>
      <c r="K12" s="2">
        <f t="shared" si="2"/>
        <v>10.95</v>
      </c>
      <c r="L12" s="2">
        <v>90</v>
      </c>
      <c r="M12" s="2">
        <f t="shared" ref="M12" si="4">O12-P12</f>
        <v>1542</v>
      </c>
      <c r="N12" s="2">
        <v>2322.1799999999998</v>
      </c>
      <c r="O12" s="2">
        <v>2874</v>
      </c>
      <c r="P12" s="2">
        <v>1332</v>
      </c>
      <c r="Q12" s="2">
        <v>1</v>
      </c>
    </row>
    <row r="13" spans="1:17">
      <c r="A13" s="2">
        <v>2015.5</v>
      </c>
      <c r="B13" s="6">
        <v>6248000000</v>
      </c>
      <c r="C13" s="4">
        <v>474000000</v>
      </c>
      <c r="D13" s="2">
        <f t="shared" ref="D13:D14" si="5">ROUND(C13/B13*100,2)</f>
        <v>7.59</v>
      </c>
      <c r="E13" s="4">
        <v>450000000</v>
      </c>
      <c r="F13" s="4">
        <v>36100000</v>
      </c>
      <c r="G13" s="2">
        <f t="shared" si="1"/>
        <v>0.57999999999999996</v>
      </c>
      <c r="H13" s="2">
        <v>46.1</v>
      </c>
      <c r="I13" s="4">
        <v>6492000000</v>
      </c>
      <c r="J13" s="4">
        <v>167000000</v>
      </c>
      <c r="K13" s="2">
        <f t="shared" ref="K13:K14" si="6">ROUND(J13/I13*100,2)</f>
        <v>2.57</v>
      </c>
      <c r="L13" s="2">
        <v>10</v>
      </c>
      <c r="M13" s="2">
        <f>O13-P13</f>
        <v>78</v>
      </c>
      <c r="N13" s="2">
        <v>2979.59</v>
      </c>
      <c r="O13" s="2">
        <v>190</v>
      </c>
      <c r="P13" s="2">
        <v>112</v>
      </c>
      <c r="Q13" s="2">
        <v>0</v>
      </c>
    </row>
    <row r="14" spans="1:17">
      <c r="A14" s="2">
        <v>2016.5</v>
      </c>
      <c r="B14" s="6">
        <v>6100000000</v>
      </c>
      <c r="C14" s="4">
        <v>486000000</v>
      </c>
      <c r="D14" s="2">
        <f t="shared" si="5"/>
        <v>7.97</v>
      </c>
      <c r="E14" s="4">
        <v>466000000</v>
      </c>
      <c r="F14" s="4">
        <v>369000000</v>
      </c>
      <c r="G14" s="2">
        <f t="shared" si="1"/>
        <v>6.05</v>
      </c>
      <c r="H14" s="2">
        <v>46.1</v>
      </c>
      <c r="I14" s="4">
        <v>6992000000</v>
      </c>
      <c r="J14" s="4">
        <v>444000000</v>
      </c>
      <c r="K14" s="2">
        <f t="shared" si="6"/>
        <v>6.35</v>
      </c>
      <c r="L14" s="2">
        <v>10.3</v>
      </c>
      <c r="M14" s="2">
        <f t="shared" ref="M14:M22" si="7">O14-P14</f>
        <v>26</v>
      </c>
      <c r="N14" s="2">
        <v>3116.73</v>
      </c>
      <c r="O14" s="2">
        <v>367</v>
      </c>
      <c r="P14" s="2">
        <v>341</v>
      </c>
      <c r="Q14" s="2">
        <v>0</v>
      </c>
    </row>
    <row r="15" spans="1:17">
      <c r="A15" s="2">
        <v>2017.5</v>
      </c>
      <c r="B15" s="6">
        <v>7300000000</v>
      </c>
      <c r="C15" s="4">
        <v>652000000</v>
      </c>
      <c r="D15" s="2">
        <f t="shared" ref="D15:D16" si="8">ROUND(C15/B15*100,2)</f>
        <v>8.93</v>
      </c>
      <c r="E15" s="4">
        <v>867000000</v>
      </c>
      <c r="F15" s="4">
        <v>646000000</v>
      </c>
      <c r="G15" s="2">
        <f t="shared" si="1"/>
        <v>8.85</v>
      </c>
      <c r="H15" s="2">
        <v>59.7</v>
      </c>
      <c r="I15" s="4">
        <v>7886000000</v>
      </c>
      <c r="J15" s="4">
        <v>1014000000</v>
      </c>
      <c r="K15" s="2">
        <f t="shared" ref="K15:K16" si="9">ROUND(J15/I15*100,2)</f>
        <v>12.86</v>
      </c>
      <c r="L15" s="2">
        <v>11.35</v>
      </c>
      <c r="M15" s="2">
        <f t="shared" si="7"/>
        <v>657</v>
      </c>
      <c r="N15" s="2">
        <v>2706.79</v>
      </c>
      <c r="O15" s="2">
        <v>645</v>
      </c>
      <c r="P15" s="2">
        <v>-12</v>
      </c>
      <c r="Q15" s="2">
        <v>0</v>
      </c>
    </row>
    <row r="16" spans="1:17">
      <c r="A16" s="2">
        <v>2018.5</v>
      </c>
      <c r="B16" s="6">
        <v>7400000000</v>
      </c>
      <c r="C16" s="4">
        <v>648000000</v>
      </c>
      <c r="D16" s="2">
        <f t="shared" si="8"/>
        <v>8.76</v>
      </c>
      <c r="E16" s="4">
        <v>628000000</v>
      </c>
      <c r="F16" s="4">
        <v>491000000</v>
      </c>
      <c r="G16" s="2">
        <f t="shared" si="1"/>
        <v>6.64</v>
      </c>
      <c r="H16" s="2">
        <v>61.3</v>
      </c>
      <c r="I16" s="4">
        <v>8858000000</v>
      </c>
      <c r="J16" s="4">
        <v>783000000</v>
      </c>
      <c r="K16" s="2">
        <f t="shared" si="9"/>
        <v>8.84</v>
      </c>
      <c r="L16" s="2">
        <v>11.7</v>
      </c>
      <c r="M16" s="2">
        <f t="shared" si="7"/>
        <v>-219</v>
      </c>
      <c r="N16" s="2">
        <v>2677.5</v>
      </c>
      <c r="O16" s="2">
        <v>325</v>
      </c>
      <c r="P16" s="2">
        <v>544</v>
      </c>
      <c r="Q16" s="2">
        <v>0</v>
      </c>
    </row>
    <row r="17" spans="1:17">
      <c r="A17" s="2">
        <v>2019.5</v>
      </c>
      <c r="B17" s="6">
        <v>7500000000</v>
      </c>
      <c r="C17" s="4">
        <v>534000000</v>
      </c>
      <c r="D17" s="2">
        <f t="shared" ref="D17:D18" si="10">ROUND(C17/B17*100,2)</f>
        <v>7.12</v>
      </c>
      <c r="E17" s="4">
        <v>527000000</v>
      </c>
      <c r="F17" s="4">
        <v>397000000</v>
      </c>
      <c r="G17" s="2">
        <f t="shared" si="1"/>
        <v>5.29</v>
      </c>
      <c r="H17" s="2">
        <v>49.2</v>
      </c>
      <c r="I17" s="4">
        <v>9175000000</v>
      </c>
      <c r="J17" s="4">
        <v>1031000000</v>
      </c>
      <c r="K17" s="2">
        <f t="shared" ref="K17:K18" si="11">ROUND(J17/I17*100,2)</f>
        <v>11.24</v>
      </c>
      <c r="L17" s="2">
        <v>12.05</v>
      </c>
      <c r="M17" s="2">
        <f t="shared" si="7"/>
        <v>59</v>
      </c>
      <c r="N17" s="2">
        <v>2398.1999999999998</v>
      </c>
      <c r="O17" s="2">
        <v>442</v>
      </c>
      <c r="P17" s="2">
        <v>383</v>
      </c>
      <c r="Q17" s="2">
        <v>0</v>
      </c>
    </row>
    <row r="18" spans="1:17">
      <c r="A18" s="2">
        <v>2020.5</v>
      </c>
      <c r="B18" s="6">
        <v>7646000000</v>
      </c>
      <c r="C18" s="4">
        <v>349000000</v>
      </c>
      <c r="D18" s="2">
        <f t="shared" si="10"/>
        <v>4.5599999999999996</v>
      </c>
      <c r="E18" s="4">
        <v>344000000</v>
      </c>
      <c r="F18" s="4">
        <v>290000000</v>
      </c>
      <c r="G18" s="2">
        <f t="shared" si="1"/>
        <v>3.79</v>
      </c>
      <c r="H18" s="2">
        <v>81.099999999999994</v>
      </c>
      <c r="I18" s="4">
        <v>9439000000</v>
      </c>
      <c r="J18" s="4">
        <v>1558000000</v>
      </c>
      <c r="K18" s="2">
        <f t="shared" si="11"/>
        <v>16.510000000000002</v>
      </c>
      <c r="L18" s="2">
        <v>11.7</v>
      </c>
      <c r="M18" s="2">
        <f t="shared" si="7"/>
        <v>297</v>
      </c>
      <c r="N18" s="2">
        <v>2124.0500000000002</v>
      </c>
      <c r="O18" s="2">
        <v>593</v>
      </c>
      <c r="P18" s="2">
        <v>296</v>
      </c>
      <c r="Q18" s="2">
        <v>0</v>
      </c>
    </row>
    <row r="19" spans="1:17">
      <c r="A19" s="2">
        <v>2021.5</v>
      </c>
      <c r="B19" s="6">
        <v>6313000000</v>
      </c>
      <c r="C19" s="4">
        <v>320000000</v>
      </c>
      <c r="D19" s="2">
        <f t="shared" ref="D19:D20" si="12">ROUND(C19/B19*100,2)</f>
        <v>5.07</v>
      </c>
      <c r="E19" s="4">
        <v>325000000</v>
      </c>
      <c r="F19" s="4">
        <v>275000000</v>
      </c>
      <c r="G19" s="2">
        <f t="shared" si="1"/>
        <v>4.3600000000000003</v>
      </c>
      <c r="H19" s="2">
        <v>80.099999999999994</v>
      </c>
      <c r="I19" s="4">
        <v>10004000000</v>
      </c>
      <c r="J19" s="4">
        <v>1905000000</v>
      </c>
      <c r="K19" s="2">
        <f t="shared" ref="K19:K20" si="13">ROUND(J19/I19*100,2)</f>
        <v>19.04</v>
      </c>
      <c r="L19" s="2">
        <v>6.2</v>
      </c>
      <c r="M19" s="2">
        <f t="shared" si="7"/>
        <v>-650</v>
      </c>
      <c r="N19" s="2">
        <v>2323</v>
      </c>
      <c r="O19" s="2">
        <v>-379</v>
      </c>
      <c r="P19" s="2">
        <v>271</v>
      </c>
      <c r="Q19" s="2">
        <v>0</v>
      </c>
    </row>
    <row r="20" spans="1:17">
      <c r="A20" s="2">
        <v>2022.5</v>
      </c>
      <c r="B20" s="6">
        <v>7900000000</v>
      </c>
      <c r="C20" s="4">
        <v>706000000</v>
      </c>
      <c r="D20" s="2">
        <f t="shared" si="12"/>
        <v>8.94</v>
      </c>
      <c r="E20" s="4">
        <v>635000000</v>
      </c>
      <c r="F20" s="4">
        <v>484000000</v>
      </c>
      <c r="G20" s="2">
        <f t="shared" si="1"/>
        <v>6.13</v>
      </c>
      <c r="H20" s="2">
        <v>81.099999999999994</v>
      </c>
      <c r="I20" s="4">
        <v>10440000000</v>
      </c>
      <c r="J20" s="4">
        <v>2091000000</v>
      </c>
      <c r="K20" s="2">
        <f t="shared" si="13"/>
        <v>20.03</v>
      </c>
      <c r="L20" s="2">
        <v>13.8</v>
      </c>
      <c r="M20" s="2">
        <f t="shared" si="7"/>
        <v>67</v>
      </c>
      <c r="N20" s="2">
        <v>1763.57</v>
      </c>
      <c r="O20" s="2">
        <v>450</v>
      </c>
      <c r="P20" s="2">
        <v>383</v>
      </c>
      <c r="Q20" s="2">
        <v>0</v>
      </c>
    </row>
    <row r="21" spans="1:17">
      <c r="A21" s="2">
        <v>2023.5</v>
      </c>
      <c r="B21" s="6">
        <v>9600000000</v>
      </c>
      <c r="C21" s="4">
        <v>684000000</v>
      </c>
      <c r="D21" s="2">
        <f t="shared" ref="D21:D22" si="14">ROUND(C21/B21*100,2)</f>
        <v>7.13</v>
      </c>
      <c r="E21" s="4">
        <v>644000000</v>
      </c>
      <c r="F21" s="4">
        <v>542000000</v>
      </c>
      <c r="G21" s="2">
        <f t="shared" si="1"/>
        <v>5.65</v>
      </c>
      <c r="H21" s="2">
        <v>62</v>
      </c>
      <c r="I21" s="4">
        <v>11357000000</v>
      </c>
      <c r="J21" s="4">
        <v>1080000000</v>
      </c>
      <c r="K21" s="2">
        <f t="shared" ref="K21:K22" si="15">ROUND(J21/I21*100,2)</f>
        <v>9.51</v>
      </c>
      <c r="L21" s="2">
        <v>13.8</v>
      </c>
      <c r="M21" s="2">
        <f t="shared" si="7"/>
        <v>-292</v>
      </c>
      <c r="N21" s="2">
        <v>1916</v>
      </c>
      <c r="O21" s="2">
        <v>143</v>
      </c>
      <c r="P21" s="2">
        <v>435</v>
      </c>
      <c r="Q21" s="2">
        <v>0</v>
      </c>
    </row>
    <row r="22" spans="1:17">
      <c r="A22" s="2">
        <v>2024.5</v>
      </c>
      <c r="B22" s="6">
        <v>9734000000</v>
      </c>
      <c r="C22" s="4">
        <v>951000000</v>
      </c>
      <c r="D22" s="2">
        <f t="shared" si="14"/>
        <v>9.77</v>
      </c>
      <c r="E22" s="4">
        <v>881000000</v>
      </c>
      <c r="F22" s="4">
        <v>678000000</v>
      </c>
      <c r="G22" s="2">
        <f t="shared" si="1"/>
        <v>6.97</v>
      </c>
      <c r="H22" s="2">
        <v>90.4</v>
      </c>
      <c r="I22" s="4">
        <v>11165000000</v>
      </c>
      <c r="J22" s="4">
        <v>1209000000</v>
      </c>
      <c r="K22" s="2">
        <f t="shared" si="15"/>
        <v>10.83</v>
      </c>
      <c r="L22" s="2">
        <v>20.7</v>
      </c>
      <c r="M22" s="2">
        <f t="shared" si="7"/>
        <v>698</v>
      </c>
      <c r="N22" s="2">
        <v>2437.64</v>
      </c>
      <c r="O22" s="2">
        <v>1176</v>
      </c>
      <c r="P22" s="2">
        <v>478</v>
      </c>
      <c r="Q22" s="2">
        <v>0</v>
      </c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EB3C-9A28-41B7-8238-3053EDD73B74}">
  <dimension ref="A1:Q46"/>
  <sheetViews>
    <sheetView topLeftCell="L1" workbookViewId="0">
      <selection activeCell="Q2" sqref="Q2:Q22"/>
    </sheetView>
  </sheetViews>
  <sheetFormatPr defaultRowHeight="15"/>
  <cols>
    <col min="2" max="2" width="10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10" bestFit="1" customWidth="1"/>
    <col min="9" max="9" width="11.42578125" bestFit="1" customWidth="1"/>
    <col min="10" max="10" width="1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7109375" bestFit="1" customWidth="1"/>
    <col min="17" max="17" width="11.5703125" bestFit="1" customWidth="1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4150000000</v>
      </c>
      <c r="C2" s="4">
        <v>812100000</v>
      </c>
      <c r="D2" s="2">
        <f t="shared" ref="D2" si="0">ROUND(C2/B2*100,2)</f>
        <v>19.57</v>
      </c>
      <c r="E2" s="4">
        <v>794800000</v>
      </c>
      <c r="F2" s="4">
        <v>634900000</v>
      </c>
      <c r="G2" s="2">
        <f t="shared" ref="G2:G22" si="1">ROUND(F2/B2*100,2)</f>
        <v>15.3</v>
      </c>
      <c r="H2" s="2">
        <v>442.5</v>
      </c>
      <c r="I2" s="4">
        <v>312000000</v>
      </c>
      <c r="J2" s="4">
        <v>272700000</v>
      </c>
      <c r="K2" s="2">
        <f t="shared" ref="K2" si="2">ROUND(J2/I2*100,2)</f>
        <v>87.4</v>
      </c>
      <c r="L2" s="2">
        <v>158</v>
      </c>
      <c r="M2" s="2">
        <f>O2-P2</f>
        <v>637.20000000000005</v>
      </c>
      <c r="N2" s="2">
        <v>6686.27</v>
      </c>
      <c r="O2" s="2">
        <v>743.2</v>
      </c>
      <c r="P2" s="2">
        <v>106</v>
      </c>
      <c r="Q2" s="2">
        <v>0</v>
      </c>
    </row>
    <row r="3" spans="1:17">
      <c r="A3" s="2">
        <v>2016</v>
      </c>
      <c r="B3" s="6">
        <v>4176900000</v>
      </c>
      <c r="C3" s="4">
        <v>836100000</v>
      </c>
      <c r="D3" s="2">
        <f t="shared" ref="D3:D4" si="3">ROUND(C3/B3*100,2)</f>
        <v>20.02</v>
      </c>
      <c r="E3" s="4">
        <v>836100000</v>
      </c>
      <c r="F3" s="4">
        <v>666800000</v>
      </c>
      <c r="G3" s="2">
        <f t="shared" si="1"/>
        <v>15.96</v>
      </c>
      <c r="H3" s="2">
        <v>450.5</v>
      </c>
      <c r="I3" s="4">
        <v>311800000</v>
      </c>
      <c r="J3" s="4">
        <v>52700000</v>
      </c>
      <c r="K3" s="2">
        <f t="shared" ref="K3:K4" si="4">ROUND(J3/I3*100,2)</f>
        <v>16.899999999999999</v>
      </c>
      <c r="L3" s="2">
        <v>158</v>
      </c>
      <c r="M3" s="2">
        <f t="shared" ref="M3:M12" si="5">O3-P3</f>
        <v>468.99999999999994</v>
      </c>
      <c r="N3" s="2">
        <v>7690.04</v>
      </c>
      <c r="O3" s="2">
        <v>608.29999999999995</v>
      </c>
      <c r="P3" s="2">
        <v>139.30000000000001</v>
      </c>
      <c r="Q3" s="2">
        <v>0</v>
      </c>
    </row>
    <row r="4" spans="1:17">
      <c r="A4" s="2">
        <v>2017</v>
      </c>
      <c r="B4" s="6">
        <v>4097300000</v>
      </c>
      <c r="C4" s="4">
        <v>826700000</v>
      </c>
      <c r="D4" s="2">
        <f t="shared" si="3"/>
        <v>20.18</v>
      </c>
      <c r="E4" s="4">
        <v>790200000</v>
      </c>
      <c r="F4" s="4">
        <v>635300000</v>
      </c>
      <c r="G4" s="2">
        <f t="shared" si="1"/>
        <v>15.51</v>
      </c>
      <c r="H4" s="2">
        <v>441.3</v>
      </c>
      <c r="I4" s="4">
        <v>510500000</v>
      </c>
      <c r="J4" s="4">
        <v>14400000</v>
      </c>
      <c r="K4" s="2">
        <f t="shared" si="4"/>
        <v>2.82</v>
      </c>
      <c r="L4" s="2">
        <v>158</v>
      </c>
      <c r="M4" s="2">
        <f t="shared" si="5"/>
        <v>545.20000000000005</v>
      </c>
      <c r="N4" s="2">
        <v>5021.97</v>
      </c>
      <c r="O4" s="2">
        <v>699.5</v>
      </c>
      <c r="P4" s="2">
        <v>154.30000000000001</v>
      </c>
      <c r="Q4" s="2">
        <v>0</v>
      </c>
    </row>
    <row r="5" spans="1:17">
      <c r="A5" s="2">
        <v>2018</v>
      </c>
      <c r="B5" s="6">
        <v>4055500000</v>
      </c>
      <c r="C5" s="4">
        <v>759900000</v>
      </c>
      <c r="D5" s="2">
        <f t="shared" ref="D5:D6" si="6">ROUND(C5/B5*100,2)</f>
        <v>18.739999999999998</v>
      </c>
      <c r="E5" s="4">
        <v>726100000</v>
      </c>
      <c r="F5" s="4">
        <v>591800000</v>
      </c>
      <c r="G5" s="2">
        <f t="shared" si="1"/>
        <v>14.59</v>
      </c>
      <c r="H5" s="2">
        <v>416.7</v>
      </c>
      <c r="I5" s="4">
        <v>482600000</v>
      </c>
      <c r="J5" s="4">
        <v>8500000</v>
      </c>
      <c r="K5" s="2">
        <f t="shared" ref="K5:K6" si="7">ROUND(J5/I5*100,2)</f>
        <v>1.76</v>
      </c>
      <c r="L5" s="2">
        <v>158</v>
      </c>
      <c r="M5" s="2">
        <f t="shared" si="5"/>
        <v>604</v>
      </c>
      <c r="N5" s="2">
        <v>4423.75</v>
      </c>
      <c r="O5" s="2">
        <v>615.20000000000005</v>
      </c>
      <c r="P5" s="2">
        <v>11.2</v>
      </c>
      <c r="Q5" s="2">
        <v>0</v>
      </c>
    </row>
    <row r="6" spans="1:17">
      <c r="A6" s="2">
        <v>2019</v>
      </c>
      <c r="B6" s="6">
        <v>3917100000</v>
      </c>
      <c r="C6" s="4">
        <v>841100000</v>
      </c>
      <c r="D6" s="2">
        <f t="shared" si="6"/>
        <v>21.47</v>
      </c>
      <c r="E6" s="4">
        <v>733600000</v>
      </c>
      <c r="F6" s="4">
        <v>599100000</v>
      </c>
      <c r="G6" s="2">
        <f t="shared" si="1"/>
        <v>15.29</v>
      </c>
      <c r="H6" s="2">
        <v>441.3</v>
      </c>
      <c r="I6" s="4">
        <v>366200000</v>
      </c>
      <c r="J6" s="4">
        <v>34000000</v>
      </c>
      <c r="K6" s="2">
        <f t="shared" si="7"/>
        <v>9.2799999999999994</v>
      </c>
      <c r="L6" s="2">
        <v>216</v>
      </c>
      <c r="M6" s="2">
        <f t="shared" si="5"/>
        <v>742.9</v>
      </c>
      <c r="N6" s="2">
        <v>5315.27</v>
      </c>
      <c r="O6" s="2">
        <v>868.8</v>
      </c>
      <c r="P6" s="2">
        <v>125.9</v>
      </c>
      <c r="Q6" s="2">
        <v>0</v>
      </c>
    </row>
    <row r="7" spans="1:17">
      <c r="A7" s="2">
        <v>2020</v>
      </c>
      <c r="B7" s="6">
        <v>3997500000</v>
      </c>
      <c r="C7" s="4">
        <v>853900000</v>
      </c>
      <c r="D7" s="2">
        <f t="shared" ref="D7:D8" si="8">ROUND(C7/B7*100,2)</f>
        <v>21.36</v>
      </c>
      <c r="E7" s="4">
        <v>748500000</v>
      </c>
      <c r="F7" s="4">
        <v>641200000</v>
      </c>
      <c r="G7" s="2">
        <f t="shared" si="1"/>
        <v>16.04</v>
      </c>
      <c r="H7" s="2">
        <v>472.1</v>
      </c>
      <c r="I7" s="4">
        <v>441500000</v>
      </c>
      <c r="J7" s="4">
        <v>52900000</v>
      </c>
      <c r="K7" s="2">
        <f t="shared" ref="K7:K8" si="9">ROUND(J7/I7*100,2)</f>
        <v>11.98</v>
      </c>
      <c r="L7" s="2">
        <v>214</v>
      </c>
      <c r="M7" s="2">
        <f t="shared" si="5"/>
        <v>788.1</v>
      </c>
      <c r="N7" s="2">
        <v>6234.47</v>
      </c>
      <c r="O7" s="2">
        <v>927.2</v>
      </c>
      <c r="P7" s="2">
        <v>139.1</v>
      </c>
      <c r="Q7" s="2">
        <v>0</v>
      </c>
    </row>
    <row r="8" spans="1:17">
      <c r="A8" s="2">
        <v>2021</v>
      </c>
      <c r="B8" s="6">
        <v>3534400000</v>
      </c>
      <c r="C8" s="4">
        <v>444000000</v>
      </c>
      <c r="D8" s="2">
        <f t="shared" si="8"/>
        <v>12.56</v>
      </c>
      <c r="E8" s="4">
        <v>342000000</v>
      </c>
      <c r="F8" s="4">
        <v>286700000</v>
      </c>
      <c r="G8" s="2">
        <f t="shared" si="1"/>
        <v>8.11</v>
      </c>
      <c r="H8" s="2">
        <v>226.3</v>
      </c>
      <c r="I8" s="4">
        <v>660900000</v>
      </c>
      <c r="J8" s="4">
        <v>514800000</v>
      </c>
      <c r="K8" s="2">
        <f t="shared" si="9"/>
        <v>77.89</v>
      </c>
      <c r="L8" s="2">
        <v>158</v>
      </c>
      <c r="M8" s="2">
        <f t="shared" si="5"/>
        <v>693.9</v>
      </c>
      <c r="N8" s="2">
        <v>6043.31</v>
      </c>
      <c r="O8" s="2">
        <v>824.8</v>
      </c>
      <c r="P8" s="2">
        <v>130.9</v>
      </c>
      <c r="Q8" s="2">
        <v>0</v>
      </c>
    </row>
    <row r="9" spans="1:17">
      <c r="A9" s="2">
        <v>2022</v>
      </c>
      <c r="B9" s="6">
        <v>4625900000</v>
      </c>
      <c r="C9" s="4">
        <v>905400000</v>
      </c>
      <c r="D9" s="2">
        <f t="shared" ref="D9:D10" si="10">ROUND(C9/B9*100,2)</f>
        <v>19.57</v>
      </c>
      <c r="E9" s="4">
        <v>823100000</v>
      </c>
      <c r="F9" s="4">
        <v>677500000</v>
      </c>
      <c r="G9" s="2">
        <f t="shared" si="1"/>
        <v>14.65</v>
      </c>
      <c r="H9" s="2">
        <v>530.79999999999995</v>
      </c>
      <c r="I9" s="4">
        <v>1010000000</v>
      </c>
      <c r="J9" s="4">
        <v>199900000</v>
      </c>
      <c r="K9" s="2">
        <f t="shared" ref="K9:K10" si="11">ROUND(J9/I9*100,2)</f>
        <v>19.79</v>
      </c>
      <c r="L9" s="2">
        <v>127</v>
      </c>
      <c r="M9" s="2">
        <f t="shared" si="5"/>
        <v>678.9</v>
      </c>
      <c r="N9" s="2">
        <v>7971.51</v>
      </c>
      <c r="O9" s="2">
        <v>971.4</v>
      </c>
      <c r="P9" s="2">
        <v>292.5</v>
      </c>
      <c r="Q9" s="2">
        <v>0</v>
      </c>
    </row>
    <row r="10" spans="1:17">
      <c r="A10" s="2">
        <v>2023</v>
      </c>
      <c r="B10" s="6">
        <v>5034000000</v>
      </c>
      <c r="C10" s="4">
        <v>942500000</v>
      </c>
      <c r="D10" s="2">
        <f t="shared" si="10"/>
        <v>18.72</v>
      </c>
      <c r="E10" s="4">
        <v>869300000</v>
      </c>
      <c r="F10" s="4">
        <v>711700000</v>
      </c>
      <c r="G10" s="2">
        <f t="shared" si="1"/>
        <v>14.14</v>
      </c>
      <c r="H10" s="2">
        <v>573.4</v>
      </c>
      <c r="I10" s="4">
        <v>1165100000</v>
      </c>
      <c r="J10" s="4">
        <v>2700000</v>
      </c>
      <c r="K10" s="2">
        <f t="shared" si="11"/>
        <v>0.23</v>
      </c>
      <c r="L10" s="2">
        <v>66</v>
      </c>
      <c r="M10" s="2">
        <f t="shared" si="5"/>
        <v>527.4</v>
      </c>
      <c r="N10" s="2">
        <v>5740.79</v>
      </c>
      <c r="O10" s="2">
        <v>798.8</v>
      </c>
      <c r="P10" s="2">
        <v>271.39999999999998</v>
      </c>
      <c r="Q10" s="2">
        <v>0</v>
      </c>
    </row>
    <row r="11" spans="1:17">
      <c r="A11" s="2">
        <v>2024</v>
      </c>
      <c r="B11" s="6">
        <v>5491000000</v>
      </c>
      <c r="C11" s="4">
        <v>987900000</v>
      </c>
      <c r="D11" s="2">
        <f t="shared" ref="D11:D12" si="12">ROUND(C11/B11*100,2)</f>
        <v>17.989999999999998</v>
      </c>
      <c r="E11" s="4">
        <v>1015800000</v>
      </c>
      <c r="F11" s="4">
        <v>800500000</v>
      </c>
      <c r="G11" s="2">
        <f t="shared" si="1"/>
        <v>14.58</v>
      </c>
      <c r="H11" s="2">
        <v>661.6</v>
      </c>
      <c r="I11" s="4">
        <v>1638800000</v>
      </c>
      <c r="J11" s="4">
        <v>124300000</v>
      </c>
      <c r="K11" s="2">
        <f t="shared" ref="K11:K12" si="13">ROUND(J11/I11*100,2)</f>
        <v>7.58</v>
      </c>
      <c r="L11" s="2">
        <v>75</v>
      </c>
      <c r="M11" s="2">
        <f t="shared" si="5"/>
        <v>785.9</v>
      </c>
      <c r="N11" s="2">
        <v>7265.9</v>
      </c>
      <c r="O11" s="2">
        <v>1120.3</v>
      </c>
      <c r="P11" s="2">
        <v>334.4</v>
      </c>
      <c r="Q11" s="2">
        <v>0</v>
      </c>
    </row>
    <row r="12" spans="1:17">
      <c r="A12" s="2">
        <v>2025</v>
      </c>
      <c r="B12" s="6">
        <v>6118100000</v>
      </c>
      <c r="C12" s="4">
        <v>1075400000</v>
      </c>
      <c r="D12" s="2">
        <f t="shared" si="12"/>
        <v>17.579999999999998</v>
      </c>
      <c r="E12" s="4">
        <v>987000000</v>
      </c>
      <c r="F12" s="4">
        <v>743200000</v>
      </c>
      <c r="G12" s="2">
        <f t="shared" si="1"/>
        <v>12.15</v>
      </c>
      <c r="H12" s="2">
        <v>615.1</v>
      </c>
      <c r="I12" s="4">
        <v>1754300000</v>
      </c>
      <c r="J12" s="4">
        <v>171300000</v>
      </c>
      <c r="K12" s="2">
        <f t="shared" si="13"/>
        <v>9.76</v>
      </c>
      <c r="L12" s="2">
        <v>141</v>
      </c>
      <c r="M12" s="2">
        <f t="shared" si="5"/>
        <v>952.7</v>
      </c>
      <c r="N12" s="2">
        <v>9741.91</v>
      </c>
      <c r="O12" s="2">
        <v>1133.9000000000001</v>
      </c>
      <c r="P12" s="2">
        <v>181.2</v>
      </c>
      <c r="Q12" s="2">
        <v>0</v>
      </c>
    </row>
    <row r="13" spans="1:17">
      <c r="A13" s="2">
        <v>2015.5</v>
      </c>
      <c r="B13" s="6">
        <v>1849600000</v>
      </c>
      <c r="C13" s="4">
        <v>339100000</v>
      </c>
      <c r="D13" s="2">
        <f>ROUND(C13/B13*100,2)</f>
        <v>18.329999999999998</v>
      </c>
      <c r="E13" s="4">
        <v>324200000</v>
      </c>
      <c r="F13" s="4">
        <v>257700000</v>
      </c>
      <c r="G13" s="2">
        <f t="shared" si="1"/>
        <v>13.93</v>
      </c>
      <c r="H13" s="2">
        <v>173.1</v>
      </c>
      <c r="I13" s="4">
        <v>122300000</v>
      </c>
      <c r="J13" s="4">
        <v>300100000</v>
      </c>
      <c r="K13" s="2">
        <f t="shared" ref="K13:K22" si="14">ROUND(J13/I13*100,2)</f>
        <v>245.38</v>
      </c>
      <c r="L13" s="2">
        <v>53</v>
      </c>
      <c r="M13" s="2">
        <f t="shared" ref="M13:M22" si="15">O13-P13</f>
        <v>242.8</v>
      </c>
      <c r="N13" s="2">
        <v>7242.2</v>
      </c>
      <c r="O13" s="2">
        <v>300.10000000000002</v>
      </c>
      <c r="P13" s="2">
        <v>57.3</v>
      </c>
      <c r="Q13" s="2">
        <v>0</v>
      </c>
    </row>
    <row r="14" spans="1:17">
      <c r="A14" s="2">
        <v>2016.5</v>
      </c>
      <c r="B14" s="6">
        <v>1890500000</v>
      </c>
      <c r="C14" s="4">
        <v>362000000</v>
      </c>
      <c r="D14" s="2">
        <f>ROUND(C14/B14*100,2)</f>
        <v>19.149999999999999</v>
      </c>
      <c r="E14" s="4">
        <v>347100000</v>
      </c>
      <c r="F14" s="4">
        <v>277000000</v>
      </c>
      <c r="G14" s="2">
        <f t="shared" si="1"/>
        <v>14.65</v>
      </c>
      <c r="H14" s="2">
        <v>187.1</v>
      </c>
      <c r="I14" s="4">
        <v>305500000</v>
      </c>
      <c r="J14" s="4">
        <v>245200000</v>
      </c>
      <c r="K14" s="2">
        <f t="shared" si="14"/>
        <v>80.260000000000005</v>
      </c>
      <c r="L14" s="2">
        <v>53</v>
      </c>
      <c r="M14" s="2">
        <f t="shared" si="15"/>
        <v>174.1</v>
      </c>
      <c r="N14" s="2">
        <v>5960.25</v>
      </c>
      <c r="O14" s="2">
        <v>245.2</v>
      </c>
      <c r="P14" s="2">
        <v>71.099999999999994</v>
      </c>
      <c r="Q14" s="2">
        <v>0</v>
      </c>
    </row>
    <row r="15" spans="1:17">
      <c r="A15" s="2">
        <v>2017.5</v>
      </c>
      <c r="B15" s="6">
        <v>1902300000</v>
      </c>
      <c r="C15" s="4">
        <v>325200000</v>
      </c>
      <c r="D15" s="2">
        <f t="shared" ref="D15" si="16">ROUND(C15/B15*100,2)</f>
        <v>17.100000000000001</v>
      </c>
      <c r="E15" s="4">
        <v>309400000</v>
      </c>
      <c r="F15" s="4">
        <v>252200000</v>
      </c>
      <c r="G15" s="2">
        <f t="shared" si="1"/>
        <v>13.26</v>
      </c>
      <c r="H15" s="2">
        <v>176.9</v>
      </c>
      <c r="I15" s="4">
        <v>430100000</v>
      </c>
      <c r="J15" s="4">
        <v>181800000</v>
      </c>
      <c r="K15" s="2">
        <f t="shared" si="14"/>
        <v>42.27</v>
      </c>
      <c r="L15" s="2">
        <v>53</v>
      </c>
      <c r="M15" s="2">
        <f t="shared" si="15"/>
        <v>270</v>
      </c>
      <c r="N15" s="2">
        <v>4094.95</v>
      </c>
      <c r="O15" s="2">
        <v>321.89999999999998</v>
      </c>
      <c r="P15" s="2">
        <v>51.9</v>
      </c>
      <c r="Q15" s="2">
        <v>0</v>
      </c>
    </row>
    <row r="16" spans="1:17">
      <c r="A16" s="2">
        <v>2018.5</v>
      </c>
      <c r="B16" s="6">
        <v>1961900000</v>
      </c>
      <c r="C16" s="4">
        <v>330500000</v>
      </c>
      <c r="D16" s="2">
        <f>ROUND(C16/B16*100,2)</f>
        <v>16.850000000000001</v>
      </c>
      <c r="E16" s="4">
        <v>311100000</v>
      </c>
      <c r="F16" s="4">
        <v>245200000</v>
      </c>
      <c r="G16" s="2">
        <f t="shared" si="1"/>
        <v>12.5</v>
      </c>
      <c r="H16" s="2">
        <v>185.6</v>
      </c>
      <c r="I16" s="4">
        <v>411700000</v>
      </c>
      <c r="J16" s="4">
        <v>23500000</v>
      </c>
      <c r="K16" s="2">
        <f t="shared" si="14"/>
        <v>5.71</v>
      </c>
      <c r="L16" s="2">
        <v>55</v>
      </c>
      <c r="M16" s="2">
        <f t="shared" si="15"/>
        <v>185.2</v>
      </c>
      <c r="N16" s="2">
        <v>5209.43</v>
      </c>
      <c r="O16" s="2">
        <v>242.1</v>
      </c>
      <c r="P16" s="2">
        <v>56.9</v>
      </c>
      <c r="Q16" s="2">
        <v>0</v>
      </c>
    </row>
    <row r="17" spans="1:17">
      <c r="A17" s="2">
        <v>2019.5</v>
      </c>
      <c r="B17" s="6">
        <v>2014500000</v>
      </c>
      <c r="C17" s="4">
        <v>380800000</v>
      </c>
      <c r="D17" s="2">
        <f t="shared" ref="D17" si="17">ROUND(C17/B17*100,2)</f>
        <v>18.899999999999999</v>
      </c>
      <c r="E17" s="4">
        <v>327400000</v>
      </c>
      <c r="F17" s="4">
        <v>266900000</v>
      </c>
      <c r="G17" s="2">
        <f t="shared" si="1"/>
        <v>13.25</v>
      </c>
      <c r="H17" s="2">
        <v>204.4</v>
      </c>
      <c r="I17" s="4">
        <v>226300000</v>
      </c>
      <c r="J17" s="4">
        <v>42100000</v>
      </c>
      <c r="K17" s="2">
        <f t="shared" si="14"/>
        <v>18.600000000000001</v>
      </c>
      <c r="L17" s="2">
        <v>57.5</v>
      </c>
      <c r="M17" s="2">
        <f t="shared" si="15"/>
        <v>341.90000000000003</v>
      </c>
      <c r="N17" s="2">
        <v>5317.29</v>
      </c>
      <c r="O17" s="2">
        <v>404.6</v>
      </c>
      <c r="P17" s="2">
        <v>62.7</v>
      </c>
      <c r="Q17" s="2">
        <v>0</v>
      </c>
    </row>
    <row r="18" spans="1:17">
      <c r="A18" s="2">
        <v>2020.5</v>
      </c>
      <c r="B18" s="6">
        <v>1332700000</v>
      </c>
      <c r="C18" s="4">
        <v>34100000</v>
      </c>
      <c r="D18" s="2">
        <f>ROUND(C18/B18*100,2)</f>
        <v>2.56</v>
      </c>
      <c r="E18" s="4">
        <v>-16500000</v>
      </c>
      <c r="F18" s="4">
        <v>-11500000</v>
      </c>
      <c r="G18" s="2">
        <f t="shared" si="1"/>
        <v>-0.86</v>
      </c>
      <c r="H18" s="2">
        <v>-9</v>
      </c>
      <c r="I18" s="4">
        <v>394700000</v>
      </c>
      <c r="J18" s="4">
        <v>360300000</v>
      </c>
      <c r="K18" s="2">
        <f t="shared" si="14"/>
        <v>91.28</v>
      </c>
      <c r="L18" s="2">
        <v>57.5</v>
      </c>
      <c r="M18" s="2">
        <f t="shared" si="15"/>
        <v>488.6</v>
      </c>
      <c r="N18" s="2">
        <v>5460.77</v>
      </c>
      <c r="O18" s="2">
        <v>395</v>
      </c>
      <c r="P18" s="2">
        <v>-93.6</v>
      </c>
      <c r="Q18" s="2">
        <v>0</v>
      </c>
    </row>
    <row r="19" spans="1:17">
      <c r="A19" s="2">
        <v>2021.5</v>
      </c>
      <c r="B19" s="6">
        <v>2119500000</v>
      </c>
      <c r="C19" s="4">
        <v>392500000</v>
      </c>
      <c r="D19" s="2">
        <f t="shared" ref="D19" si="18">ROUND(C19/B19*100,2)</f>
        <v>18.52</v>
      </c>
      <c r="E19" s="4">
        <v>346700000</v>
      </c>
      <c r="F19" s="4">
        <v>289600000</v>
      </c>
      <c r="G19" s="2">
        <f t="shared" si="1"/>
        <v>13.66</v>
      </c>
      <c r="H19" s="2">
        <v>226.8</v>
      </c>
      <c r="I19" s="4">
        <v>936900000</v>
      </c>
      <c r="J19" s="4">
        <v>708800000</v>
      </c>
      <c r="K19" s="2">
        <f t="shared" si="14"/>
        <v>75.650000000000006</v>
      </c>
      <c r="L19" s="2">
        <v>57.5</v>
      </c>
      <c r="M19" s="2">
        <f t="shared" si="15"/>
        <v>379.20000000000005</v>
      </c>
      <c r="N19" s="2">
        <v>7889.89</v>
      </c>
      <c r="O19" s="2">
        <v>526.1</v>
      </c>
      <c r="P19" s="2">
        <v>146.9</v>
      </c>
      <c r="Q19" s="2">
        <v>0</v>
      </c>
    </row>
    <row r="20" spans="1:17">
      <c r="A20" s="2">
        <v>2022.5</v>
      </c>
      <c r="B20" s="6">
        <v>2379600000</v>
      </c>
      <c r="C20" s="4">
        <v>434400000</v>
      </c>
      <c r="D20" s="2">
        <f>ROUND(C20/B20*100,2)</f>
        <v>18.260000000000002</v>
      </c>
      <c r="E20" s="4">
        <v>400600000</v>
      </c>
      <c r="F20" s="4">
        <v>328500000</v>
      </c>
      <c r="G20" s="2">
        <f t="shared" si="1"/>
        <v>13.8</v>
      </c>
      <c r="H20" s="2">
        <v>262.3</v>
      </c>
      <c r="I20" s="4">
        <v>940600000</v>
      </c>
      <c r="J20" s="4">
        <v>63400000</v>
      </c>
      <c r="K20" s="2">
        <f t="shared" si="14"/>
        <v>6.74</v>
      </c>
      <c r="L20" s="2">
        <v>60</v>
      </c>
      <c r="M20" s="2">
        <f t="shared" si="15"/>
        <v>102</v>
      </c>
      <c r="N20" s="2">
        <v>6553.81</v>
      </c>
      <c r="O20" s="2">
        <v>240.2</v>
      </c>
      <c r="P20" s="2">
        <v>138.19999999999999</v>
      </c>
      <c r="Q20" s="2">
        <v>0</v>
      </c>
    </row>
    <row r="21" spans="1:17">
      <c r="A21" s="2">
        <v>2023.5</v>
      </c>
      <c r="B21" s="6">
        <v>2516600000</v>
      </c>
      <c r="C21" s="4">
        <v>452500000</v>
      </c>
      <c r="D21" s="2">
        <f t="shared" ref="D21" si="19">ROUND(C21/B21*100,2)</f>
        <v>17.98</v>
      </c>
      <c r="E21" s="4">
        <v>415700000</v>
      </c>
      <c r="F21" s="4">
        <v>318300000</v>
      </c>
      <c r="G21" s="2">
        <f t="shared" si="1"/>
        <v>12.65</v>
      </c>
      <c r="H21" s="2">
        <v>264.5</v>
      </c>
      <c r="I21" s="4">
        <v>1104100000</v>
      </c>
      <c r="J21" s="4">
        <v>94500000</v>
      </c>
      <c r="K21" s="2">
        <f t="shared" si="14"/>
        <v>8.56</v>
      </c>
      <c r="L21" s="2">
        <v>66</v>
      </c>
      <c r="M21" s="2">
        <f t="shared" si="15"/>
        <v>413.29999999999995</v>
      </c>
      <c r="N21" s="2">
        <v>6648.38</v>
      </c>
      <c r="O21" s="2">
        <v>506.2</v>
      </c>
      <c r="P21" s="2">
        <v>92.9</v>
      </c>
      <c r="Q21" s="2">
        <v>0</v>
      </c>
    </row>
    <row r="22" spans="1:17">
      <c r="A22" s="2">
        <v>2024.5</v>
      </c>
      <c r="B22" s="6">
        <v>2861000000</v>
      </c>
      <c r="C22" s="4">
        <v>475700000</v>
      </c>
      <c r="D22" s="2">
        <f>ROUND(C22/B22*100,2)</f>
        <v>16.63</v>
      </c>
      <c r="E22" s="4">
        <v>432100000</v>
      </c>
      <c r="F22" s="4">
        <v>325400000</v>
      </c>
      <c r="G22" s="2">
        <f t="shared" si="1"/>
        <v>11.37</v>
      </c>
      <c r="H22" s="2">
        <v>267.89999999999998</v>
      </c>
      <c r="I22" s="4">
        <v>1478900000</v>
      </c>
      <c r="J22" s="4">
        <v>82300000</v>
      </c>
      <c r="K22" s="2">
        <f t="shared" si="14"/>
        <v>5.56</v>
      </c>
      <c r="L22" s="2">
        <v>75</v>
      </c>
      <c r="M22" s="2">
        <f t="shared" si="15"/>
        <v>269.2</v>
      </c>
      <c r="N22" s="2">
        <v>8798.2000000000007</v>
      </c>
      <c r="O22" s="2">
        <v>370.5</v>
      </c>
      <c r="P22" s="2">
        <v>101.3</v>
      </c>
      <c r="Q22" s="2">
        <v>0</v>
      </c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D2B3-8ABF-4688-A725-32854CE92AB1}">
  <dimension ref="A1:Q66"/>
  <sheetViews>
    <sheetView topLeftCell="J1" workbookViewId="0">
      <selection activeCell="Q2" sqref="Q2:Q22"/>
    </sheetView>
  </sheetViews>
  <sheetFormatPr defaultRowHeight="15"/>
  <cols>
    <col min="2" max="2" width="11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8" max="8" width="9" bestFit="1" customWidth="1"/>
    <col min="9" max="9" width="11.42578125" bestFit="1" customWidth="1"/>
    <col min="10" max="10" width="10.28515625" bestFit="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7109375" bestFit="1" customWidth="1"/>
    <col min="17" max="17" width="11.5703125" bestFit="1" customWidth="1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948900000</v>
      </c>
      <c r="C2" s="4">
        <v>16300000</v>
      </c>
      <c r="D2" s="2">
        <f t="shared" ref="D2" si="0">ROUND(C2/B2*100,2)</f>
        <v>1.72</v>
      </c>
      <c r="E2" s="4">
        <v>7200000</v>
      </c>
      <c r="F2" s="4">
        <v>7300000</v>
      </c>
      <c r="G2" s="2">
        <f t="shared" ref="G2:G22" si="1">ROUND(F2/B2*100,2)</f>
        <v>0.77</v>
      </c>
      <c r="H2" s="2">
        <v>1.24</v>
      </c>
      <c r="I2" s="4">
        <v>218200000</v>
      </c>
      <c r="J2" s="4">
        <v>76300000</v>
      </c>
      <c r="K2" s="2">
        <f t="shared" ref="K2" si="2">ROUND(J2/I2*100,2)</f>
        <v>34.97</v>
      </c>
      <c r="L2" s="2">
        <v>8.1</v>
      </c>
      <c r="M2" s="2">
        <f>O2-P2</f>
        <v>-4</v>
      </c>
      <c r="N2" s="2">
        <v>314.76</v>
      </c>
      <c r="O2" s="2">
        <v>74.3</v>
      </c>
      <c r="P2" s="2">
        <v>78.3</v>
      </c>
      <c r="Q2" s="2">
        <v>0</v>
      </c>
    </row>
    <row r="3" spans="1:17">
      <c r="A3" s="2">
        <v>2016</v>
      </c>
      <c r="B3" s="6">
        <v>1107600000</v>
      </c>
      <c r="C3" s="4">
        <v>19100000</v>
      </c>
      <c r="D3" s="2">
        <f t="shared" ref="D3:D4" si="3">ROUND(C3/B3*100,2)</f>
        <v>1.72</v>
      </c>
      <c r="E3" s="4">
        <v>11900000</v>
      </c>
      <c r="F3" s="4">
        <v>11800000</v>
      </c>
      <c r="G3" s="2">
        <f t="shared" si="1"/>
        <v>1.07</v>
      </c>
      <c r="H3" s="2">
        <v>2.0099999999999998</v>
      </c>
      <c r="I3" s="4">
        <v>241900000</v>
      </c>
      <c r="J3" s="4">
        <v>45800000</v>
      </c>
      <c r="K3" s="2">
        <f t="shared" ref="K3:K4" si="4">ROUND(J3/I3*100,2)</f>
        <v>18.93</v>
      </c>
      <c r="L3" s="2">
        <v>8.1</v>
      </c>
      <c r="M3" s="2">
        <f t="shared" ref="M3:M4" si="5">O3-P3</f>
        <v>-8</v>
      </c>
      <c r="N3" s="2">
        <v>365.77</v>
      </c>
      <c r="O3" s="2">
        <v>82.8</v>
      </c>
      <c r="P3" s="2">
        <v>90.8</v>
      </c>
      <c r="Q3" s="2">
        <v>0</v>
      </c>
    </row>
    <row r="4" spans="1:17">
      <c r="A4" s="2">
        <v>2017</v>
      </c>
      <c r="B4" s="6">
        <v>1271000000</v>
      </c>
      <c r="C4" s="4">
        <v>21900000</v>
      </c>
      <c r="D4" s="2">
        <f t="shared" si="3"/>
        <v>1.72</v>
      </c>
      <c r="E4" s="4">
        <v>12100000</v>
      </c>
      <c r="F4" s="4">
        <v>12000000</v>
      </c>
      <c r="G4" s="2">
        <f t="shared" si="1"/>
        <v>0.94</v>
      </c>
      <c r="H4" s="2">
        <v>2.02</v>
      </c>
      <c r="I4" s="4">
        <v>262400000</v>
      </c>
      <c r="J4" s="4">
        <v>50900000</v>
      </c>
      <c r="K4" s="2">
        <f t="shared" si="4"/>
        <v>19.399999999999999</v>
      </c>
      <c r="L4" s="2">
        <v>8.4</v>
      </c>
      <c r="M4" s="2">
        <f t="shared" si="5"/>
        <v>-18.399999999999991</v>
      </c>
      <c r="N4" s="2">
        <v>269.52</v>
      </c>
      <c r="O4" s="2">
        <v>96.9</v>
      </c>
      <c r="P4" s="2">
        <v>115.3</v>
      </c>
      <c r="Q4" s="2">
        <v>0</v>
      </c>
    </row>
    <row r="5" spans="1:17">
      <c r="A5" s="2">
        <v>2018</v>
      </c>
      <c r="B5" s="6">
        <v>1454500000</v>
      </c>
      <c r="C5" s="4">
        <v>5400000</v>
      </c>
      <c r="D5" s="2">
        <f t="shared" ref="D5:D6" si="6">ROUND(C5/B5*100,2)</f>
        <v>0.37</v>
      </c>
      <c r="E5" s="4">
        <v>-8300000</v>
      </c>
      <c r="F5" s="4">
        <v>-8300000</v>
      </c>
      <c r="G5" s="2">
        <f t="shared" si="1"/>
        <v>-0.56999999999999995</v>
      </c>
      <c r="H5" s="2">
        <v>-1.39</v>
      </c>
      <c r="I5" s="4">
        <v>247600000</v>
      </c>
      <c r="J5" s="4">
        <v>150000000</v>
      </c>
      <c r="K5" s="2">
        <f t="shared" ref="K5:K6" si="7">ROUND(J5/I5*100,2)</f>
        <v>60.58</v>
      </c>
      <c r="L5" s="2">
        <v>7.6</v>
      </c>
      <c r="M5" s="2">
        <f>O5-P5</f>
        <v>-54.8</v>
      </c>
      <c r="N5" s="2">
        <v>299.39</v>
      </c>
      <c r="O5" s="2">
        <v>118.3</v>
      </c>
      <c r="P5" s="2">
        <v>173.1</v>
      </c>
      <c r="Q5" s="2">
        <v>0</v>
      </c>
    </row>
    <row r="6" spans="1:17">
      <c r="A6" s="2">
        <v>2019</v>
      </c>
      <c r="B6" s="6">
        <v>1598800000</v>
      </c>
      <c r="C6" s="4">
        <v>-31900000</v>
      </c>
      <c r="D6" s="2">
        <f t="shared" si="6"/>
        <v>-2</v>
      </c>
      <c r="E6" s="4">
        <v>-44400000</v>
      </c>
      <c r="F6" s="4">
        <v>-44900000</v>
      </c>
      <c r="G6" s="2">
        <f t="shared" si="1"/>
        <v>-2.81</v>
      </c>
      <c r="H6" s="2">
        <v>-6.87</v>
      </c>
      <c r="I6" s="4">
        <v>556600000</v>
      </c>
      <c r="J6" s="4">
        <v>410800000</v>
      </c>
      <c r="K6" s="2">
        <f t="shared" si="7"/>
        <v>73.81</v>
      </c>
      <c r="L6" s="2">
        <v>0</v>
      </c>
      <c r="M6" s="2">
        <f t="shared" ref="M6:M13" si="8">O6-P6</f>
        <v>-39.5</v>
      </c>
      <c r="N6" s="2">
        <v>920.2</v>
      </c>
      <c r="O6" s="2">
        <v>128.4</v>
      </c>
      <c r="P6" s="2">
        <v>167.9</v>
      </c>
      <c r="Q6" s="2">
        <v>0</v>
      </c>
    </row>
    <row r="7" spans="1:17">
      <c r="A7" s="2">
        <v>2020</v>
      </c>
      <c r="B7" s="6">
        <v>1756600000</v>
      </c>
      <c r="C7" s="4">
        <v>-185800000</v>
      </c>
      <c r="D7" s="2">
        <f t="shared" ref="D7:D8" si="9">ROUND(C7/B7*100,2)</f>
        <v>-10.58</v>
      </c>
      <c r="E7" s="4">
        <v>-214500000</v>
      </c>
      <c r="F7" s="4">
        <v>-211800000</v>
      </c>
      <c r="G7" s="2">
        <f t="shared" si="1"/>
        <v>-12.06</v>
      </c>
      <c r="H7" s="2">
        <v>-30.63</v>
      </c>
      <c r="I7" s="4">
        <v>1057300000</v>
      </c>
      <c r="J7" s="4">
        <v>640600000</v>
      </c>
      <c r="K7" s="2">
        <f t="shared" ref="K7:K8" si="10">ROUND(J7/I7*100,2)</f>
        <v>60.59</v>
      </c>
      <c r="L7" s="2">
        <v>15.6</v>
      </c>
      <c r="M7" s="2">
        <f t="shared" si="8"/>
        <v>-168.8</v>
      </c>
      <c r="N7" s="2">
        <v>1247.76</v>
      </c>
      <c r="O7" s="2">
        <v>51.7</v>
      </c>
      <c r="P7" s="2">
        <v>220.5</v>
      </c>
      <c r="Q7" s="2">
        <v>0</v>
      </c>
    </row>
    <row r="8" spans="1:17">
      <c r="A8" s="2">
        <v>2021</v>
      </c>
      <c r="B8" s="6">
        <v>2331800000</v>
      </c>
      <c r="C8" s="4">
        <v>8800000</v>
      </c>
      <c r="D8" s="2">
        <f t="shared" si="9"/>
        <v>0.38</v>
      </c>
      <c r="E8" s="4">
        <v>-44400000</v>
      </c>
      <c r="F8" s="4">
        <v>-69600000</v>
      </c>
      <c r="G8" s="2">
        <f t="shared" si="1"/>
        <v>-2.98</v>
      </c>
      <c r="H8" s="2">
        <v>-17.55</v>
      </c>
      <c r="I8" s="4">
        <v>1837200000</v>
      </c>
      <c r="J8" s="4">
        <v>1706800000</v>
      </c>
      <c r="K8" s="2">
        <f t="shared" si="10"/>
        <v>92.9</v>
      </c>
      <c r="L8" s="2">
        <v>7.7</v>
      </c>
      <c r="M8" s="2">
        <f t="shared" si="8"/>
        <v>-457.4</v>
      </c>
      <c r="N8" s="2">
        <v>2329.39</v>
      </c>
      <c r="O8" s="2">
        <v>225.4</v>
      </c>
      <c r="P8" s="2">
        <v>682.8</v>
      </c>
      <c r="Q8" s="2">
        <v>0</v>
      </c>
    </row>
    <row r="9" spans="1:17">
      <c r="A9" s="2">
        <v>2022</v>
      </c>
      <c r="B9" s="6">
        <v>2498800000</v>
      </c>
      <c r="C9" s="4">
        <v>-134600000</v>
      </c>
      <c r="D9" s="2">
        <f t="shared" ref="D9:D10" si="11">ROUND(C9/B9*100,2)</f>
        <v>-5.39</v>
      </c>
      <c r="E9" s="4">
        <v>-176900000</v>
      </c>
      <c r="F9" s="4">
        <v>-185700000</v>
      </c>
      <c r="G9" s="2">
        <f t="shared" si="1"/>
        <v>-7.43</v>
      </c>
      <c r="H9" s="2">
        <v>-30.18</v>
      </c>
      <c r="I9" s="4">
        <v>1709400000</v>
      </c>
      <c r="J9" s="4">
        <v>1468600000</v>
      </c>
      <c r="K9" s="2">
        <f t="shared" ref="K9:K10" si="12">ROUND(J9/I9*100,2)</f>
        <v>85.91</v>
      </c>
      <c r="L9" s="2">
        <v>7.7</v>
      </c>
      <c r="M9" s="2">
        <f t="shared" si="8"/>
        <v>-540</v>
      </c>
      <c r="N9" s="2">
        <v>1794.6</v>
      </c>
      <c r="O9" s="2">
        <v>-16</v>
      </c>
      <c r="P9" s="2">
        <v>524</v>
      </c>
      <c r="Q9" s="2">
        <v>0</v>
      </c>
    </row>
    <row r="10" spans="1:17">
      <c r="A10" s="2">
        <v>2023</v>
      </c>
      <c r="B10" s="6">
        <v>2513800000</v>
      </c>
      <c r="C10" s="4">
        <v>-452600000</v>
      </c>
      <c r="D10" s="2">
        <f t="shared" si="11"/>
        <v>-18</v>
      </c>
      <c r="E10" s="4">
        <v>-500800000</v>
      </c>
      <c r="F10" s="4">
        <v>-481300000</v>
      </c>
      <c r="G10" s="2">
        <f t="shared" si="1"/>
        <v>-19.149999999999999</v>
      </c>
      <c r="H10" s="2">
        <v>-58.93</v>
      </c>
      <c r="I10" s="4">
        <v>1934300000</v>
      </c>
      <c r="J10" s="4">
        <v>1328000000</v>
      </c>
      <c r="K10" s="2">
        <f t="shared" si="12"/>
        <v>68.66</v>
      </c>
      <c r="L10" s="2">
        <v>8</v>
      </c>
      <c r="M10" s="2">
        <f t="shared" si="8"/>
        <v>-709.5</v>
      </c>
      <c r="N10" s="2">
        <v>684.6</v>
      </c>
      <c r="O10" s="2">
        <v>7.9</v>
      </c>
      <c r="P10" s="2">
        <v>717.4</v>
      </c>
      <c r="Q10" s="2">
        <v>0</v>
      </c>
    </row>
    <row r="11" spans="1:17">
      <c r="A11" s="2">
        <v>2024</v>
      </c>
      <c r="B11" s="6">
        <v>1122100000</v>
      </c>
      <c r="C11" s="4">
        <v>-222300000</v>
      </c>
      <c r="D11" s="2">
        <f>ROUND(C11/B11*100,2)</f>
        <v>-19.809999999999999</v>
      </c>
      <c r="E11" s="4">
        <v>-279700000</v>
      </c>
      <c r="F11" s="4">
        <v>-387000000</v>
      </c>
      <c r="G11" s="2">
        <f t="shared" si="1"/>
        <v>-34.49</v>
      </c>
      <c r="H11" s="2">
        <v>-31.76</v>
      </c>
      <c r="I11" s="4">
        <v>1511000000</v>
      </c>
      <c r="J11" s="4">
        <v>884800000</v>
      </c>
      <c r="K11" s="2">
        <f>ROUND(J11/I11*100,2)</f>
        <v>58.56</v>
      </c>
      <c r="L11" s="2">
        <v>5.0999999999999996</v>
      </c>
      <c r="M11" s="2">
        <f t="shared" si="8"/>
        <v>-417.90000000000003</v>
      </c>
      <c r="N11" s="2">
        <v>670.49</v>
      </c>
      <c r="O11" s="2">
        <v>82.2</v>
      </c>
      <c r="P11" s="2">
        <v>500.1</v>
      </c>
      <c r="Q11" s="2">
        <v>0</v>
      </c>
    </row>
    <row r="12" spans="1:17">
      <c r="A12" s="2">
        <v>2025</v>
      </c>
      <c r="B12" s="6">
        <v>1214600000</v>
      </c>
      <c r="C12" s="4">
        <v>-336600000</v>
      </c>
      <c r="D12" s="2">
        <f t="shared" ref="D12" si="13">ROUND(C12/B12*100,2)</f>
        <v>-27.71</v>
      </c>
      <c r="E12" s="4">
        <v>-339800000</v>
      </c>
      <c r="F12" s="4">
        <v>-374300000</v>
      </c>
      <c r="G12" s="2">
        <f t="shared" si="1"/>
        <v>-30.82</v>
      </c>
      <c r="H12" s="2">
        <v>-40.69</v>
      </c>
      <c r="I12" s="4">
        <v>1171200000</v>
      </c>
      <c r="J12" s="4">
        <v>7715000000</v>
      </c>
      <c r="K12" s="2">
        <f t="shared" ref="K12" si="14">ROUND(J12/I12*100,2)</f>
        <v>658.73</v>
      </c>
      <c r="L12" s="2">
        <v>2.8</v>
      </c>
      <c r="M12" s="2">
        <f t="shared" si="8"/>
        <v>-84.800000000000011</v>
      </c>
      <c r="N12" s="2">
        <v>351.46</v>
      </c>
      <c r="O12" s="2">
        <v>268.89999999999998</v>
      </c>
      <c r="P12" s="2">
        <v>353.7</v>
      </c>
      <c r="Q12" s="2">
        <v>0</v>
      </c>
    </row>
    <row r="13" spans="1:17">
      <c r="A13" s="2">
        <v>2015.5</v>
      </c>
      <c r="B13" s="6">
        <v>507700000</v>
      </c>
      <c r="C13" s="4">
        <v>11800000</v>
      </c>
      <c r="D13" s="2">
        <f t="shared" ref="D13:D14" si="15">ROUND(C13/B13*100,2)</f>
        <v>2.3199999999999998</v>
      </c>
      <c r="E13" s="4">
        <v>7200000</v>
      </c>
      <c r="F13" s="4">
        <v>7200000</v>
      </c>
      <c r="G13" s="2">
        <f t="shared" si="1"/>
        <v>1.42</v>
      </c>
      <c r="H13" s="2">
        <v>1.23</v>
      </c>
      <c r="I13" s="4">
        <v>231700000</v>
      </c>
      <c r="J13" s="4">
        <v>70400000</v>
      </c>
      <c r="K13" s="2">
        <f t="shared" ref="K13:K14" si="16">ROUND(J13/I13*100,2)</f>
        <v>30.38</v>
      </c>
      <c r="L13" s="2">
        <v>4.0999999999999996</v>
      </c>
      <c r="M13" s="2">
        <f t="shared" si="8"/>
        <v>0.5</v>
      </c>
      <c r="N13" s="2">
        <v>380.15</v>
      </c>
      <c r="O13" s="2">
        <v>41.1</v>
      </c>
      <c r="P13" s="2">
        <v>40.6</v>
      </c>
      <c r="Q13" s="2">
        <v>0</v>
      </c>
    </row>
    <row r="14" spans="1:17">
      <c r="A14" s="2">
        <v>2016.5</v>
      </c>
      <c r="B14" s="6">
        <v>582900000</v>
      </c>
      <c r="C14" s="4">
        <v>12800000</v>
      </c>
      <c r="D14" s="2">
        <f t="shared" si="15"/>
        <v>2.2000000000000002</v>
      </c>
      <c r="E14" s="4">
        <v>8500000</v>
      </c>
      <c r="F14" s="4">
        <v>8600000</v>
      </c>
      <c r="G14" s="2">
        <f t="shared" si="1"/>
        <v>1.48</v>
      </c>
      <c r="H14" s="2">
        <v>1.48</v>
      </c>
      <c r="I14" s="4">
        <v>255200000</v>
      </c>
      <c r="J14" s="4">
        <v>52700000</v>
      </c>
      <c r="K14" s="2">
        <f t="shared" si="16"/>
        <v>20.65</v>
      </c>
      <c r="L14" s="2">
        <v>4.2</v>
      </c>
      <c r="M14" s="2">
        <f t="shared" ref="M14:M15" si="17">O14-P14</f>
        <v>3.8999999999999986</v>
      </c>
      <c r="N14" s="2">
        <v>275.05</v>
      </c>
      <c r="O14" s="2">
        <v>48.8</v>
      </c>
      <c r="P14" s="2">
        <v>44.9</v>
      </c>
      <c r="Q14" s="2">
        <v>0</v>
      </c>
    </row>
    <row r="15" spans="1:17">
      <c r="A15" s="2">
        <v>2017.5</v>
      </c>
      <c r="B15" s="6">
        <v>713800000</v>
      </c>
      <c r="C15" s="4">
        <v>11900000</v>
      </c>
      <c r="D15" s="2">
        <f t="shared" ref="D15:D16" si="18">ROUND(C15/B15*100,2)</f>
        <v>1.67</v>
      </c>
      <c r="E15" s="4">
        <v>7700000</v>
      </c>
      <c r="F15" s="4">
        <v>7700000</v>
      </c>
      <c r="G15" s="2">
        <f t="shared" si="1"/>
        <v>1.08</v>
      </c>
      <c r="H15" s="2">
        <v>1.26</v>
      </c>
      <c r="I15" s="4">
        <v>273100000</v>
      </c>
      <c r="J15" s="4">
        <v>37800000</v>
      </c>
      <c r="K15" s="2">
        <f t="shared" ref="K15:K16" si="19">ROUND(J15/I15*100,2)</f>
        <v>13.84</v>
      </c>
      <c r="L15" s="2">
        <v>3.8</v>
      </c>
      <c r="M15" s="2">
        <f t="shared" si="17"/>
        <v>-40.6</v>
      </c>
      <c r="N15" s="2">
        <v>264.63</v>
      </c>
      <c r="O15" s="2">
        <v>48.1</v>
      </c>
      <c r="P15" s="2">
        <v>88.7</v>
      </c>
      <c r="Q15" s="2">
        <v>0</v>
      </c>
    </row>
    <row r="16" spans="1:17">
      <c r="A16" s="2">
        <v>2018.5</v>
      </c>
      <c r="B16" s="6">
        <v>799900000</v>
      </c>
      <c r="C16" s="4">
        <v>-7400000</v>
      </c>
      <c r="D16" s="2">
        <f t="shared" si="18"/>
        <v>-0.93</v>
      </c>
      <c r="E16" s="4">
        <v>-13600000</v>
      </c>
      <c r="F16" s="4">
        <v>-13900000</v>
      </c>
      <c r="G16" s="2">
        <f t="shared" si="1"/>
        <v>-1.74</v>
      </c>
      <c r="H16" s="2">
        <v>-2.2200000000000002</v>
      </c>
      <c r="I16" s="4">
        <v>576600000</v>
      </c>
      <c r="J16" s="4">
        <v>447600000</v>
      </c>
      <c r="K16" s="2">
        <f t="shared" si="19"/>
        <v>77.63</v>
      </c>
      <c r="L16" s="2">
        <v>0</v>
      </c>
      <c r="M16" s="2">
        <f>O16-P16</f>
        <v>-34.1</v>
      </c>
      <c r="N16" s="2">
        <v>624.07000000000005</v>
      </c>
      <c r="O16" s="2">
        <v>38.1</v>
      </c>
      <c r="P16" s="2">
        <v>72.2</v>
      </c>
      <c r="Q16" s="2">
        <v>0</v>
      </c>
    </row>
    <row r="17" spans="1:17">
      <c r="A17" s="2">
        <v>2019.5</v>
      </c>
      <c r="B17" s="6">
        <v>882300000</v>
      </c>
      <c r="C17" s="4">
        <v>-133200000</v>
      </c>
      <c r="D17" s="2">
        <f t="shared" ref="D17:D18" si="20">ROUND(C17/B17*100,2)</f>
        <v>-15.1</v>
      </c>
      <c r="E17" s="4">
        <v>-142800000</v>
      </c>
      <c r="F17" s="4">
        <v>-143000000</v>
      </c>
      <c r="G17" s="2">
        <f t="shared" si="1"/>
        <v>-16.21</v>
      </c>
      <c r="H17" s="2">
        <v>-19.77</v>
      </c>
      <c r="I17" s="4">
        <v>382000000</v>
      </c>
      <c r="J17" s="4">
        <v>360100000</v>
      </c>
      <c r="K17" s="2">
        <f t="shared" ref="K17:K18" si="21">ROUND(J17/I17*100,2)</f>
        <v>94.27</v>
      </c>
      <c r="L17" s="2">
        <v>6.6</v>
      </c>
      <c r="M17" s="2">
        <f>O17-P17</f>
        <v>-92</v>
      </c>
      <c r="N17" s="2">
        <v>1133.27</v>
      </c>
      <c r="O17" s="2">
        <v>-8.6</v>
      </c>
      <c r="P17" s="2">
        <v>83.4</v>
      </c>
      <c r="Q17" s="2">
        <v>0</v>
      </c>
    </row>
    <row r="18" spans="1:17">
      <c r="A18" s="2">
        <v>2020.5</v>
      </c>
      <c r="B18" s="6">
        <v>1086800000</v>
      </c>
      <c r="C18" s="4">
        <v>-17700000</v>
      </c>
      <c r="D18" s="2">
        <f t="shared" si="20"/>
        <v>-1.63</v>
      </c>
      <c r="E18" s="4">
        <v>-40600000</v>
      </c>
      <c r="F18" s="4">
        <v>-41000000</v>
      </c>
      <c r="G18" s="2">
        <f t="shared" si="1"/>
        <v>-3.77</v>
      </c>
      <c r="H18" s="2">
        <v>-8.18</v>
      </c>
      <c r="I18" s="4">
        <v>1113700000</v>
      </c>
      <c r="J18" s="4">
        <v>1150300000</v>
      </c>
      <c r="K18" s="2">
        <f t="shared" si="21"/>
        <v>103.29</v>
      </c>
      <c r="L18" s="2">
        <v>2.8</v>
      </c>
      <c r="M18" s="2">
        <f t="shared" ref="M18:M22" si="22">O18-P18</f>
        <v>-54.900000000000006</v>
      </c>
      <c r="N18" s="2">
        <v>1525.8</v>
      </c>
      <c r="O18" s="2">
        <v>165.6</v>
      </c>
      <c r="P18" s="2">
        <v>220.5</v>
      </c>
      <c r="Q18" s="2">
        <v>0</v>
      </c>
    </row>
    <row r="19" spans="1:17">
      <c r="A19" s="2">
        <v>2021.5</v>
      </c>
      <c r="B19" s="6">
        <v>1319900000</v>
      </c>
      <c r="C19" s="4">
        <v>14100000</v>
      </c>
      <c r="D19" s="2">
        <f t="shared" ref="D19:D20" si="23">ROUND(C19/B19*100,2)</f>
        <v>1.07</v>
      </c>
      <c r="E19" s="4">
        <v>-23600000</v>
      </c>
      <c r="F19" s="4">
        <v>-34400000</v>
      </c>
      <c r="G19" s="2">
        <f t="shared" si="1"/>
        <v>-2.61</v>
      </c>
      <c r="H19" s="2">
        <v>-10.53</v>
      </c>
      <c r="I19" s="4">
        <v>1823700000</v>
      </c>
      <c r="J19" s="4">
        <v>1657800000</v>
      </c>
      <c r="K19" s="2">
        <f t="shared" ref="K19:K20" si="24">ROUND(J19/I19*100,2)</f>
        <v>90.9</v>
      </c>
      <c r="L19" s="2">
        <v>0</v>
      </c>
      <c r="M19" s="2">
        <f t="shared" si="22"/>
        <v>-42.000000000000014</v>
      </c>
      <c r="N19" s="2">
        <v>2211.7199999999998</v>
      </c>
      <c r="O19" s="2">
        <v>93.3</v>
      </c>
      <c r="P19" s="2">
        <v>135.30000000000001</v>
      </c>
      <c r="Q19" s="2">
        <v>0</v>
      </c>
    </row>
    <row r="20" spans="1:17">
      <c r="A20" s="2">
        <v>2022.5</v>
      </c>
      <c r="B20" s="6">
        <v>1262400000</v>
      </c>
      <c r="C20" s="4">
        <v>-177900000</v>
      </c>
      <c r="D20" s="2">
        <f t="shared" si="23"/>
        <v>-14.09</v>
      </c>
      <c r="E20" s="4">
        <v>-211300000</v>
      </c>
      <c r="F20" s="4">
        <v>-212100000</v>
      </c>
      <c r="G20" s="2">
        <f t="shared" si="1"/>
        <v>-16.8</v>
      </c>
      <c r="H20" s="2">
        <v>-28.67</v>
      </c>
      <c r="I20" s="4">
        <v>1568600000</v>
      </c>
      <c r="J20" s="4">
        <v>1080700000</v>
      </c>
      <c r="K20" s="2">
        <f t="shared" si="24"/>
        <v>68.900000000000006</v>
      </c>
      <c r="L20" s="2">
        <v>0</v>
      </c>
      <c r="M20" s="2">
        <f t="shared" si="22"/>
        <v>-376.40000000000003</v>
      </c>
      <c r="N20" s="2">
        <v>1133.4000000000001</v>
      </c>
      <c r="O20" s="2">
        <v>5.7</v>
      </c>
      <c r="P20" s="2">
        <v>382.1</v>
      </c>
      <c r="Q20" s="2">
        <v>0</v>
      </c>
    </row>
    <row r="21" spans="1:17">
      <c r="A21" s="2">
        <v>2023.5</v>
      </c>
      <c r="B21" s="6">
        <v>1370000000</v>
      </c>
      <c r="C21" s="4">
        <v>-253100000</v>
      </c>
      <c r="D21" s="2">
        <f t="shared" ref="D21:D22" si="25">ROUND(C21/B21*100,2)</f>
        <v>-18.47</v>
      </c>
      <c r="E21" s="4">
        <v>-289500000</v>
      </c>
      <c r="F21" s="4">
        <v>-275400000</v>
      </c>
      <c r="G21" s="2">
        <f t="shared" si="1"/>
        <v>-20.100000000000001</v>
      </c>
      <c r="H21" s="2">
        <v>-28.65</v>
      </c>
      <c r="I21" s="4">
        <v>1646500000</v>
      </c>
      <c r="J21" s="4">
        <v>1008500000</v>
      </c>
      <c r="K21" s="2">
        <f t="shared" ref="K21:K22" si="26">ROUND(J21/I21*100,2)</f>
        <v>61.25</v>
      </c>
      <c r="L21" s="2">
        <v>0</v>
      </c>
      <c r="M21" s="2">
        <f t="shared" si="22"/>
        <v>-287.59999999999997</v>
      </c>
      <c r="N21" s="2">
        <v>537.26</v>
      </c>
      <c r="O21" s="2">
        <v>-16.399999999999999</v>
      </c>
      <c r="P21" s="2">
        <v>271.2</v>
      </c>
      <c r="Q21" s="2">
        <v>0</v>
      </c>
    </row>
    <row r="22" spans="1:17">
      <c r="A22" s="2">
        <v>2024.5</v>
      </c>
      <c r="B22" s="6">
        <v>1543100000</v>
      </c>
      <c r="C22" s="4">
        <v>-138700000</v>
      </c>
      <c r="D22" s="2">
        <f t="shared" si="25"/>
        <v>-8.99</v>
      </c>
      <c r="E22" s="4">
        <v>-138900000</v>
      </c>
      <c r="F22" s="4">
        <v>-153300000</v>
      </c>
      <c r="G22" s="2">
        <f t="shared" si="1"/>
        <v>-9.93</v>
      </c>
      <c r="H22" s="2">
        <v>-16.649999999999999</v>
      </c>
      <c r="I22" s="4">
        <v>1372200000</v>
      </c>
      <c r="J22" s="4">
        <v>746600000</v>
      </c>
      <c r="K22" s="2">
        <f t="shared" si="26"/>
        <v>54.41</v>
      </c>
      <c r="L22" s="2">
        <v>0</v>
      </c>
      <c r="M22" s="2">
        <f t="shared" si="22"/>
        <v>-110.5</v>
      </c>
      <c r="N22" s="2">
        <v>448.32</v>
      </c>
      <c r="O22" s="2">
        <v>69.099999999999994</v>
      </c>
      <c r="P22" s="2">
        <v>179.6</v>
      </c>
      <c r="Q22" s="2">
        <v>0</v>
      </c>
    </row>
    <row r="37" spans="1:11">
      <c r="A37" s="2"/>
      <c r="B37" s="2"/>
      <c r="C37" s="2"/>
      <c r="D37" s="2"/>
      <c r="E37" s="2"/>
      <c r="F37" s="2"/>
      <c r="G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I66" s="2"/>
      <c r="J66" s="2"/>
      <c r="K6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1696-2BC3-4155-B968-D8988001A6F6}">
  <dimension ref="A1:Q48"/>
  <sheetViews>
    <sheetView workbookViewId="0">
      <selection activeCell="Q19" sqref="Q19"/>
    </sheetView>
  </sheetViews>
  <sheetFormatPr defaultRowHeight="15"/>
  <cols>
    <col min="2" max="2" width="10.28515625" bestFit="1" customWidth="1"/>
    <col min="3" max="3" width="15.42578125" bestFit="1" customWidth="1"/>
    <col min="4" max="4" width="20.28515625" bestFit="1" customWidth="1"/>
    <col min="5" max="5" width="16.42578125" bestFit="1" customWidth="1"/>
    <col min="6" max="6" width="14.5703125" bestFit="1" customWidth="1"/>
    <col min="7" max="7" width="16.28515625" bestFit="1" customWidth="1"/>
    <col min="9" max="9" width="11.42578125" bestFit="1" customWidth="1"/>
    <col min="10" max="10" width="9.28515625" bestFit="1" customWidth="1"/>
    <col min="11" max="11" width="17.42578125" bestFit="1" customWidth="1"/>
    <col min="12" max="12" width="16.140625" bestFit="1" customWidth="1"/>
    <col min="13" max="13" width="16.7109375" bestFit="1" customWidth="1"/>
    <col min="14" max="14" width="14.5703125" bestFit="1" customWidth="1"/>
    <col min="15" max="15" width="17.42578125" customWidth="1"/>
    <col min="17" max="17" width="11.5703125" bestFit="1" customWidth="1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11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23775000000</v>
      </c>
      <c r="C2" s="4">
        <v>81000000</v>
      </c>
      <c r="D2" s="2">
        <f t="shared" ref="D2:D3" si="0">ROUND(C2/B2*100,2)</f>
        <v>0.34</v>
      </c>
      <c r="E2" s="4">
        <v>-72000000</v>
      </c>
      <c r="F2" s="4">
        <v>-166000000</v>
      </c>
      <c r="G2" s="2">
        <f t="shared" ref="G2:G22" si="1">ROUND(F2/B2*100,2)</f>
        <v>-0.7</v>
      </c>
      <c r="H2" s="2">
        <v>-8.6999999999999993</v>
      </c>
      <c r="I2" s="4">
        <v>5539000000</v>
      </c>
      <c r="J2" s="4">
        <v>1276000000</v>
      </c>
      <c r="K2" s="2">
        <f t="shared" ref="K2:K22" si="2">ROUND(J2/I2*100,2)</f>
        <v>23.04</v>
      </c>
      <c r="L2" s="2">
        <v>12</v>
      </c>
      <c r="M2" s="2">
        <f t="shared" ref="M2:M22" si="3">O2-P2</f>
        <v>-118</v>
      </c>
      <c r="N2" s="2">
        <v>266.70999999999998</v>
      </c>
      <c r="O2" s="2">
        <v>911</v>
      </c>
      <c r="P2" s="2">
        <v>1029</v>
      </c>
      <c r="Q2" s="2">
        <v>0</v>
      </c>
    </row>
    <row r="3" spans="1:17">
      <c r="A3" s="2">
        <v>2016</v>
      </c>
      <c r="B3" s="6">
        <v>23506000000</v>
      </c>
      <c r="C3" s="4">
        <v>707000000</v>
      </c>
      <c r="D3" s="2">
        <f t="shared" si="0"/>
        <v>3.01</v>
      </c>
      <c r="E3" s="4">
        <v>548000000</v>
      </c>
      <c r="F3" s="4">
        <v>471000000</v>
      </c>
      <c r="G3" s="2">
        <f t="shared" si="1"/>
        <v>2</v>
      </c>
      <c r="H3" s="2">
        <v>23.9</v>
      </c>
      <c r="I3" s="4">
        <v>6365000000</v>
      </c>
      <c r="J3" s="4">
        <v>1140000000</v>
      </c>
      <c r="K3" s="2">
        <f t="shared" si="2"/>
        <v>17.91</v>
      </c>
      <c r="L3" s="2">
        <v>12.1</v>
      </c>
      <c r="M3" s="2">
        <f t="shared" si="3"/>
        <v>288</v>
      </c>
      <c r="N3" s="2">
        <v>253.38</v>
      </c>
      <c r="O3" s="2">
        <v>392</v>
      </c>
      <c r="P3" s="2">
        <v>104</v>
      </c>
      <c r="Q3" s="2">
        <v>0</v>
      </c>
    </row>
    <row r="4" spans="1:17">
      <c r="A4" s="2">
        <v>2017</v>
      </c>
      <c r="B4" s="6">
        <v>26224000000</v>
      </c>
      <c r="C4" s="4">
        <v>642000000</v>
      </c>
      <c r="D4" s="2">
        <f t="shared" ref="D4:D5" si="4">ROUND(C4/B4*100,2)</f>
        <v>2.4500000000000002</v>
      </c>
      <c r="E4" s="4">
        <v>503000000</v>
      </c>
      <c r="F4" s="4">
        <v>377000000</v>
      </c>
      <c r="G4" s="2">
        <f t="shared" si="1"/>
        <v>1.44</v>
      </c>
      <c r="H4" s="2">
        <v>17.5</v>
      </c>
      <c r="I4" s="4">
        <v>6872000000</v>
      </c>
      <c r="J4" s="4">
        <v>1077000000</v>
      </c>
      <c r="K4" s="2">
        <f t="shared" si="2"/>
        <v>15.67</v>
      </c>
      <c r="L4" s="2">
        <v>6.6</v>
      </c>
      <c r="M4" s="2">
        <f t="shared" si="3"/>
        <v>463</v>
      </c>
      <c r="N4" s="2">
        <v>237.77</v>
      </c>
      <c r="O4" s="2">
        <v>1153</v>
      </c>
      <c r="P4" s="2">
        <v>690</v>
      </c>
      <c r="Q4" s="2">
        <v>0</v>
      </c>
    </row>
    <row r="5" spans="1:17">
      <c r="A5" s="2">
        <v>2018</v>
      </c>
      <c r="B5" s="6">
        <v>28456000000</v>
      </c>
      <c r="C5" s="4">
        <v>518000000</v>
      </c>
      <c r="D5" s="2">
        <f t="shared" si="4"/>
        <v>1.82</v>
      </c>
      <c r="E5" s="4">
        <v>409000000</v>
      </c>
      <c r="F5" s="4">
        <v>309000000</v>
      </c>
      <c r="G5" s="2">
        <f t="shared" si="1"/>
        <v>1.0900000000000001</v>
      </c>
      <c r="H5" s="2">
        <v>13.3</v>
      </c>
      <c r="I5" s="4">
        <v>7411000000</v>
      </c>
      <c r="J5" s="4">
        <v>1728000000</v>
      </c>
      <c r="K5" s="2">
        <f t="shared" si="2"/>
        <v>23.32</v>
      </c>
      <c r="L5" s="2">
        <v>7.1</v>
      </c>
      <c r="M5" s="2">
        <f t="shared" si="3"/>
        <v>718</v>
      </c>
      <c r="N5" s="2">
        <v>239</v>
      </c>
      <c r="O5" s="2">
        <v>1365</v>
      </c>
      <c r="P5" s="2">
        <v>647</v>
      </c>
      <c r="Q5" s="2">
        <v>0</v>
      </c>
    </row>
    <row r="6" spans="1:17">
      <c r="A6" s="2">
        <v>2019</v>
      </c>
      <c r="B6" s="6">
        <v>29007000000</v>
      </c>
      <c r="C6" s="4">
        <v>601000000</v>
      </c>
      <c r="D6" s="2">
        <f t="shared" ref="D6:D7" si="5">ROUND(C6/B6*100,2)</f>
        <v>2.0699999999999998</v>
      </c>
      <c r="E6" s="4">
        <v>202000000</v>
      </c>
      <c r="F6" s="4">
        <v>186000000</v>
      </c>
      <c r="G6" s="2">
        <f t="shared" si="1"/>
        <v>0.64</v>
      </c>
      <c r="H6" s="2">
        <v>7.6</v>
      </c>
      <c r="I6" s="4">
        <v>7782000000</v>
      </c>
      <c r="J6" s="4">
        <v>112000000</v>
      </c>
      <c r="K6" s="2">
        <f t="shared" si="2"/>
        <v>1.44</v>
      </c>
      <c r="L6" s="2">
        <v>7.9</v>
      </c>
      <c r="M6" s="2">
        <f t="shared" si="3"/>
        <v>391</v>
      </c>
      <c r="N6" s="2">
        <v>313.52999999999997</v>
      </c>
      <c r="O6" s="2">
        <v>1043</v>
      </c>
      <c r="P6" s="2">
        <v>652</v>
      </c>
      <c r="Q6" s="2">
        <v>0</v>
      </c>
    </row>
    <row r="7" spans="1:17">
      <c r="A7" s="2">
        <v>2020</v>
      </c>
      <c r="B7" s="6">
        <v>28993000000</v>
      </c>
      <c r="C7" s="4">
        <v>650000000</v>
      </c>
      <c r="D7" s="2">
        <f t="shared" si="5"/>
        <v>2.2400000000000002</v>
      </c>
      <c r="E7" s="4">
        <v>152000000</v>
      </c>
      <c r="F7" s="4">
        <v>152000000</v>
      </c>
      <c r="G7" s="2">
        <f t="shared" si="1"/>
        <v>0.52</v>
      </c>
      <c r="H7" s="2">
        <v>5.8</v>
      </c>
      <c r="I7" s="4">
        <v>7773000000</v>
      </c>
      <c r="J7" s="4">
        <v>994000000</v>
      </c>
      <c r="K7" s="2">
        <f t="shared" si="2"/>
        <v>12.79</v>
      </c>
      <c r="L7" s="2">
        <v>3.3</v>
      </c>
      <c r="M7" s="2">
        <f t="shared" si="3"/>
        <v>771</v>
      </c>
      <c r="N7" s="2">
        <v>207.85</v>
      </c>
      <c r="O7" s="2">
        <v>1372</v>
      </c>
      <c r="P7" s="2">
        <v>601</v>
      </c>
      <c r="Q7" s="2">
        <v>0</v>
      </c>
    </row>
    <row r="8" spans="1:17">
      <c r="A8" s="2">
        <v>2021</v>
      </c>
      <c r="B8" s="6">
        <v>29048000000</v>
      </c>
      <c r="C8" s="4">
        <v>156000000</v>
      </c>
      <c r="D8" s="2">
        <f t="shared" ref="D8:D9" si="6">ROUND(C8/B8*100,2)</f>
        <v>0.54</v>
      </c>
      <c r="E8" s="4">
        <v>-164000000</v>
      </c>
      <c r="F8" s="4">
        <v>-201000000</v>
      </c>
      <c r="G8" s="2">
        <f t="shared" si="1"/>
        <v>-0.69</v>
      </c>
      <c r="H8" s="2">
        <v>-9.4</v>
      </c>
      <c r="I8" s="4">
        <v>6700000000</v>
      </c>
      <c r="J8" s="4">
        <v>1476000000</v>
      </c>
      <c r="K8" s="2">
        <f t="shared" si="2"/>
        <v>22.03</v>
      </c>
      <c r="L8" s="2">
        <v>3.2</v>
      </c>
      <c r="M8" s="2">
        <f t="shared" si="3"/>
        <v>1790</v>
      </c>
      <c r="N8" s="2">
        <v>200.42</v>
      </c>
      <c r="O8" s="2">
        <v>2343</v>
      </c>
      <c r="P8" s="2">
        <v>553</v>
      </c>
      <c r="Q8" s="2">
        <v>0</v>
      </c>
    </row>
    <row r="9" spans="1:17">
      <c r="A9" s="2">
        <v>2022</v>
      </c>
      <c r="B9" s="6">
        <v>29895000000</v>
      </c>
      <c r="C9" s="4">
        <v>1156000000</v>
      </c>
      <c r="D9" s="2">
        <f t="shared" si="6"/>
        <v>3.87</v>
      </c>
      <c r="E9" s="4">
        <v>854000000</v>
      </c>
      <c r="F9" s="4">
        <v>677000000</v>
      </c>
      <c r="G9" s="2">
        <f t="shared" si="1"/>
        <v>2.2599999999999998</v>
      </c>
      <c r="H9" s="2">
        <v>29.8</v>
      </c>
      <c r="I9" s="4">
        <v>8423000000</v>
      </c>
      <c r="J9" s="4">
        <v>818000000</v>
      </c>
      <c r="K9" s="2">
        <f t="shared" si="2"/>
        <v>9.7100000000000009</v>
      </c>
      <c r="L9" s="2">
        <v>3.2</v>
      </c>
      <c r="M9" s="2">
        <f t="shared" si="3"/>
        <v>360</v>
      </c>
      <c r="N9" s="2">
        <v>289.16000000000003</v>
      </c>
      <c r="O9" s="2">
        <v>1009</v>
      </c>
      <c r="P9" s="2">
        <v>649</v>
      </c>
      <c r="Q9" s="2">
        <v>0</v>
      </c>
    </row>
    <row r="10" spans="1:17">
      <c r="A10" s="2">
        <v>2023</v>
      </c>
      <c r="B10" s="6">
        <v>31491000000</v>
      </c>
      <c r="C10" s="4">
        <v>562000000</v>
      </c>
      <c r="D10" s="2">
        <f t="shared" ref="D10:D11" si="7">ROUND(C10/B10*100,2)</f>
        <v>1.78</v>
      </c>
      <c r="E10" s="4">
        <v>327000000</v>
      </c>
      <c r="F10" s="4">
        <v>207000000</v>
      </c>
      <c r="G10" s="2">
        <f t="shared" si="1"/>
        <v>0.66</v>
      </c>
      <c r="H10" s="2">
        <v>9</v>
      </c>
      <c r="I10" s="4">
        <v>7253000000</v>
      </c>
      <c r="J10" s="4">
        <v>1319000000</v>
      </c>
      <c r="K10" s="2">
        <f t="shared" si="2"/>
        <v>18.190000000000001</v>
      </c>
      <c r="L10" s="2">
        <v>13.1</v>
      </c>
      <c r="M10" s="2">
        <f t="shared" si="3"/>
        <v>1461</v>
      </c>
      <c r="N10" s="2">
        <v>207.81</v>
      </c>
      <c r="O10" s="2">
        <v>2170</v>
      </c>
      <c r="P10" s="2">
        <v>709</v>
      </c>
      <c r="Q10" s="2">
        <v>0</v>
      </c>
    </row>
    <row r="11" spans="1:17">
      <c r="A11" s="2">
        <v>2024</v>
      </c>
      <c r="B11" s="6">
        <v>32700000000</v>
      </c>
      <c r="C11" s="4">
        <v>532000000</v>
      </c>
      <c r="D11" s="2">
        <f t="shared" si="7"/>
        <v>1.63</v>
      </c>
      <c r="E11" s="4">
        <v>277000000</v>
      </c>
      <c r="F11" s="4">
        <v>137000000</v>
      </c>
      <c r="G11" s="2">
        <f t="shared" si="1"/>
        <v>0.42</v>
      </c>
      <c r="H11" s="2">
        <v>5.9</v>
      </c>
      <c r="I11" s="4">
        <v>6868000000</v>
      </c>
      <c r="J11" s="4">
        <v>1987000000</v>
      </c>
      <c r="K11" s="2">
        <f t="shared" si="2"/>
        <v>28.93</v>
      </c>
      <c r="L11" s="2">
        <v>13.1</v>
      </c>
      <c r="M11" s="2">
        <f t="shared" si="3"/>
        <v>950</v>
      </c>
      <c r="N11" s="2">
        <v>271.08</v>
      </c>
      <c r="O11" s="2">
        <v>1965</v>
      </c>
      <c r="P11" s="2">
        <v>1015</v>
      </c>
      <c r="Q11" s="2">
        <v>0</v>
      </c>
    </row>
    <row r="12" spans="1:17">
      <c r="A12" s="2">
        <v>2025</v>
      </c>
      <c r="B12" s="6">
        <v>32812000000</v>
      </c>
      <c r="C12" s="4">
        <v>904000000</v>
      </c>
      <c r="D12" s="2">
        <f>ROUND(C12/B12*100,2)</f>
        <v>2.76</v>
      </c>
      <c r="E12" s="4">
        <v>621000000</v>
      </c>
      <c r="F12" s="4">
        <v>420000000</v>
      </c>
      <c r="G12" s="2">
        <f t="shared" si="1"/>
        <v>1.28</v>
      </c>
      <c r="H12" s="2">
        <v>10.4</v>
      </c>
      <c r="I12" s="4">
        <v>6651000000</v>
      </c>
      <c r="J12" s="4">
        <v>2776000000</v>
      </c>
      <c r="K12" s="2">
        <f t="shared" si="2"/>
        <v>41.74</v>
      </c>
      <c r="L12" s="2">
        <v>13.6</v>
      </c>
      <c r="M12" s="2">
        <f t="shared" si="3"/>
        <v>577</v>
      </c>
      <c r="N12" s="2">
        <v>273.83</v>
      </c>
      <c r="O12" s="2">
        <v>1364</v>
      </c>
      <c r="P12" s="2">
        <v>787</v>
      </c>
      <c r="Q12" s="2">
        <v>0</v>
      </c>
    </row>
    <row r="13" spans="1:17">
      <c r="A13" s="2">
        <v>2015.5</v>
      </c>
      <c r="B13" s="6">
        <v>12419000000</v>
      </c>
      <c r="C13" s="4">
        <v>423000000</v>
      </c>
      <c r="D13" s="2">
        <f>ROUND(C13/B13*100,2)</f>
        <v>3.41</v>
      </c>
      <c r="E13" s="4">
        <v>339000000</v>
      </c>
      <c r="F13" s="4">
        <v>264000000</v>
      </c>
      <c r="G13" s="2">
        <f t="shared" si="1"/>
        <v>2.13</v>
      </c>
      <c r="H13" s="2">
        <v>13.6</v>
      </c>
      <c r="I13" s="4">
        <v>6210000000</v>
      </c>
      <c r="J13" s="4">
        <v>1261000000</v>
      </c>
      <c r="K13" s="2">
        <f t="shared" si="2"/>
        <v>20.309999999999999</v>
      </c>
      <c r="L13" s="2">
        <v>4</v>
      </c>
      <c r="M13" s="2">
        <f t="shared" si="3"/>
        <v>-66</v>
      </c>
      <c r="N13" s="2">
        <v>263.45999999999998</v>
      </c>
      <c r="O13" s="2">
        <v>247</v>
      </c>
      <c r="P13" s="2">
        <v>313</v>
      </c>
      <c r="Q13" s="2">
        <v>0</v>
      </c>
    </row>
    <row r="14" spans="1:17">
      <c r="A14" s="2">
        <v>2016.5</v>
      </c>
      <c r="B14" s="6">
        <v>12642000000</v>
      </c>
      <c r="C14" s="4">
        <v>457000000</v>
      </c>
      <c r="D14" s="2">
        <f t="shared" ref="D14" si="8">ROUND(C14/B14*100,2)</f>
        <v>3.61</v>
      </c>
      <c r="E14" s="4">
        <v>372000000</v>
      </c>
      <c r="F14" s="4">
        <v>299000000</v>
      </c>
      <c r="G14" s="2">
        <f t="shared" si="1"/>
        <v>2.37</v>
      </c>
      <c r="H14" s="2">
        <v>14.8</v>
      </c>
      <c r="I14" s="4">
        <v>6494000000</v>
      </c>
      <c r="J14" s="4">
        <v>1182000000</v>
      </c>
      <c r="K14" s="2">
        <f t="shared" si="2"/>
        <v>18.2</v>
      </c>
      <c r="L14" s="2">
        <v>3.6</v>
      </c>
      <c r="M14" s="2">
        <f t="shared" si="3"/>
        <v>295</v>
      </c>
      <c r="N14" s="2">
        <v>257.55</v>
      </c>
      <c r="O14" s="2">
        <v>746</v>
      </c>
      <c r="P14" s="2">
        <v>451</v>
      </c>
      <c r="Q14" s="2">
        <v>0</v>
      </c>
    </row>
    <row r="15" spans="1:17">
      <c r="A15" s="2">
        <v>2017.5</v>
      </c>
      <c r="B15" s="6">
        <v>14644000000</v>
      </c>
      <c r="C15" s="4">
        <v>283000000</v>
      </c>
      <c r="D15" s="2">
        <f t="shared" ref="D15:D16" si="9">ROUND(C15/B15*100,2)</f>
        <v>1.93</v>
      </c>
      <c r="E15" s="4">
        <v>220000000</v>
      </c>
      <c r="F15" s="4">
        <v>166000000</v>
      </c>
      <c r="G15" s="2">
        <f t="shared" si="1"/>
        <v>1.1299999999999999</v>
      </c>
      <c r="H15" s="2">
        <v>7.1</v>
      </c>
      <c r="I15" s="4">
        <v>6937000000</v>
      </c>
      <c r="J15" s="4">
        <v>1332000000</v>
      </c>
      <c r="K15" s="2">
        <f t="shared" si="2"/>
        <v>19.2</v>
      </c>
      <c r="L15" s="2">
        <v>3.1</v>
      </c>
      <c r="M15" s="2">
        <f t="shared" si="3"/>
        <v>513</v>
      </c>
      <c r="N15" s="2">
        <v>263.93</v>
      </c>
      <c r="O15" s="2">
        <v>791</v>
      </c>
      <c r="P15" s="2">
        <v>278</v>
      </c>
      <c r="Q15" s="2">
        <v>0</v>
      </c>
    </row>
    <row r="16" spans="1:17">
      <c r="A16" s="2">
        <v>2018.5</v>
      </c>
      <c r="B16" s="6">
        <v>15127000000</v>
      </c>
      <c r="C16" s="4">
        <v>152000000</v>
      </c>
      <c r="D16" s="2">
        <f t="shared" si="9"/>
        <v>1</v>
      </c>
      <c r="E16" s="4">
        <v>132000000</v>
      </c>
      <c r="F16" s="4">
        <v>144000000</v>
      </c>
      <c r="G16" s="2">
        <f t="shared" si="1"/>
        <v>0.95</v>
      </c>
      <c r="H16" s="2">
        <v>6.1</v>
      </c>
      <c r="I16" s="4">
        <v>7836000000</v>
      </c>
      <c r="J16" s="4">
        <v>1462000000</v>
      </c>
      <c r="K16" s="2">
        <f t="shared" si="2"/>
        <v>18.66</v>
      </c>
      <c r="L16" s="2">
        <v>3.1</v>
      </c>
      <c r="M16" s="2">
        <f t="shared" si="3"/>
        <v>482</v>
      </c>
      <c r="N16" s="2">
        <v>269.52</v>
      </c>
      <c r="O16" s="2">
        <v>730</v>
      </c>
      <c r="P16" s="2">
        <v>248</v>
      </c>
      <c r="Q16" s="2">
        <v>0</v>
      </c>
    </row>
    <row r="17" spans="1:17">
      <c r="A17" s="2">
        <v>2019.5</v>
      </c>
      <c r="B17" s="6">
        <v>15097000000</v>
      </c>
      <c r="C17" s="4">
        <v>238000000</v>
      </c>
      <c r="D17" s="2">
        <f t="shared" ref="D17:D18" si="10">ROUND(C17/B17*100,2)</f>
        <v>1.58</v>
      </c>
      <c r="E17" s="4">
        <v>9000000</v>
      </c>
      <c r="F17" s="4">
        <v>-38000000</v>
      </c>
      <c r="G17" s="2">
        <f t="shared" si="1"/>
        <v>-0.25</v>
      </c>
      <c r="H17" s="2">
        <v>-2.2000000000000002</v>
      </c>
      <c r="I17" s="4">
        <v>7906000000</v>
      </c>
      <c r="J17" s="4">
        <v>1467000000</v>
      </c>
      <c r="K17" s="2">
        <f t="shared" si="2"/>
        <v>18.559999999999999</v>
      </c>
      <c r="L17" s="2">
        <v>3.3</v>
      </c>
      <c r="M17" s="2">
        <f t="shared" si="3"/>
        <v>931</v>
      </c>
      <c r="N17" s="2">
        <v>234.37</v>
      </c>
      <c r="O17" s="2">
        <v>1024</v>
      </c>
      <c r="P17" s="2">
        <v>93</v>
      </c>
      <c r="Q17" s="2">
        <v>0</v>
      </c>
    </row>
    <row r="18" spans="1:17">
      <c r="A18" s="2">
        <v>2020.5</v>
      </c>
      <c r="B18" s="6">
        <v>14934000000</v>
      </c>
      <c r="C18" s="4">
        <v>43000000</v>
      </c>
      <c r="D18" s="2">
        <f t="shared" si="10"/>
        <v>0.28999999999999998</v>
      </c>
      <c r="E18" s="4">
        <v>-137000000</v>
      </c>
      <c r="F18" s="4">
        <v>-179000000</v>
      </c>
      <c r="G18" s="2">
        <f t="shared" si="1"/>
        <v>-1.2</v>
      </c>
      <c r="H18" s="2">
        <v>-8.3000000000000007</v>
      </c>
      <c r="I18" s="4">
        <v>7187000000</v>
      </c>
      <c r="J18" s="4">
        <v>1453000000</v>
      </c>
      <c r="K18" s="2">
        <f t="shared" si="2"/>
        <v>20.22</v>
      </c>
      <c r="L18" s="2">
        <v>3.2</v>
      </c>
      <c r="M18" s="2">
        <f t="shared" si="3"/>
        <v>1248</v>
      </c>
      <c r="N18" s="2">
        <v>202.04</v>
      </c>
      <c r="O18" s="2">
        <v>1511</v>
      </c>
      <c r="P18" s="2">
        <v>263</v>
      </c>
      <c r="Q18" s="2">
        <v>1</v>
      </c>
    </row>
    <row r="19" spans="1:17">
      <c r="A19" s="2">
        <v>2021.5</v>
      </c>
      <c r="B19" s="6">
        <v>15724000000</v>
      </c>
      <c r="C19" s="4">
        <v>666000000</v>
      </c>
      <c r="D19" s="2">
        <f t="shared" ref="D19:D20" si="11">ROUND(C19/B19*100,2)</f>
        <v>4.24</v>
      </c>
      <c r="E19" s="4">
        <v>527000000</v>
      </c>
      <c r="F19" s="4">
        <v>378000000</v>
      </c>
      <c r="G19" s="2">
        <f t="shared" si="1"/>
        <v>2.4</v>
      </c>
      <c r="H19" s="2">
        <v>16.8</v>
      </c>
      <c r="I19" s="4">
        <v>8423000000</v>
      </c>
      <c r="J19" s="4">
        <v>1435000000</v>
      </c>
      <c r="K19" s="2">
        <f t="shared" si="2"/>
        <v>17.04</v>
      </c>
      <c r="L19" s="2">
        <v>3.2</v>
      </c>
      <c r="M19" s="2">
        <f t="shared" si="3"/>
        <v>632</v>
      </c>
      <c r="N19" s="2">
        <v>245.5</v>
      </c>
      <c r="O19" s="2">
        <v>913</v>
      </c>
      <c r="P19" s="2">
        <v>281</v>
      </c>
      <c r="Q19" s="2">
        <v>0</v>
      </c>
    </row>
    <row r="20" spans="1:17">
      <c r="A20" s="2">
        <v>2022.5</v>
      </c>
      <c r="B20" s="6">
        <v>16408000000</v>
      </c>
      <c r="C20" s="4">
        <v>507000000</v>
      </c>
      <c r="D20" s="2">
        <f t="shared" si="11"/>
        <v>3.09</v>
      </c>
      <c r="E20" s="4">
        <v>376000000</v>
      </c>
      <c r="F20" s="4">
        <v>285000000</v>
      </c>
      <c r="G20" s="2">
        <f t="shared" si="1"/>
        <v>1.74</v>
      </c>
      <c r="H20" s="2">
        <v>12.3</v>
      </c>
      <c r="I20" s="4">
        <v>7929000000</v>
      </c>
      <c r="J20" s="4">
        <v>1577000000</v>
      </c>
      <c r="K20" s="2">
        <f t="shared" si="2"/>
        <v>19.89</v>
      </c>
      <c r="L20" s="2">
        <v>3.9</v>
      </c>
      <c r="M20" s="2">
        <f t="shared" si="3"/>
        <v>1279</v>
      </c>
      <c r="N20" s="2">
        <v>251.58</v>
      </c>
      <c r="O20" s="2">
        <v>1568</v>
      </c>
      <c r="P20" s="2">
        <v>289</v>
      </c>
      <c r="Q20" s="2">
        <v>0</v>
      </c>
    </row>
    <row r="21" spans="1:17">
      <c r="A21" s="2">
        <v>2023.5</v>
      </c>
      <c r="B21" s="6">
        <v>16813000000</v>
      </c>
      <c r="C21" s="4">
        <v>389000000</v>
      </c>
      <c r="D21" s="2">
        <f t="shared" ref="D21:D22" si="12">ROUND(C21/B21*100,2)</f>
        <v>2.31</v>
      </c>
      <c r="E21" s="4">
        <v>250000000</v>
      </c>
      <c r="F21" s="4">
        <v>136000000</v>
      </c>
      <c r="G21" s="2">
        <f t="shared" si="1"/>
        <v>0.81</v>
      </c>
      <c r="H21" s="2">
        <v>10.5</v>
      </c>
      <c r="I21" s="4">
        <v>6868000000</v>
      </c>
      <c r="J21" s="4">
        <v>2065000000</v>
      </c>
      <c r="K21" s="2">
        <f t="shared" si="2"/>
        <v>30.07</v>
      </c>
      <c r="L21" s="2">
        <v>3.9</v>
      </c>
      <c r="M21" s="2">
        <f t="shared" si="3"/>
        <v>71</v>
      </c>
      <c r="N21" s="2">
        <v>265.82</v>
      </c>
      <c r="O21" s="2">
        <v>1123</v>
      </c>
      <c r="P21" s="2">
        <v>1052</v>
      </c>
      <c r="Q21" s="2">
        <v>0</v>
      </c>
    </row>
    <row r="22" spans="1:17">
      <c r="A22" s="2">
        <v>2024.5</v>
      </c>
      <c r="B22" s="6">
        <v>17203000000</v>
      </c>
      <c r="C22" s="4">
        <v>410000000</v>
      </c>
      <c r="D22" s="2">
        <f t="shared" si="12"/>
        <v>2.38</v>
      </c>
      <c r="E22" s="4">
        <v>257000000</v>
      </c>
      <c r="F22" s="4">
        <v>174000000</v>
      </c>
      <c r="G22" s="2">
        <f t="shared" si="1"/>
        <v>1.01</v>
      </c>
      <c r="H22" s="2">
        <v>10.7</v>
      </c>
      <c r="I22" s="4">
        <v>6613000000</v>
      </c>
      <c r="J22" s="4">
        <v>1587000000</v>
      </c>
      <c r="K22" s="2">
        <f t="shared" si="2"/>
        <v>24</v>
      </c>
      <c r="L22" s="2">
        <v>3.9</v>
      </c>
      <c r="M22" s="2">
        <f t="shared" si="3"/>
        <v>186</v>
      </c>
      <c r="N22" s="2">
        <v>267.12</v>
      </c>
      <c r="O22" s="2">
        <v>592</v>
      </c>
      <c r="P22" s="2">
        <v>406</v>
      </c>
      <c r="Q22" s="2">
        <v>0</v>
      </c>
    </row>
    <row r="24" spans="1:17">
      <c r="A24" s="2"/>
      <c r="B24" s="2"/>
      <c r="C24" s="2"/>
      <c r="D24" s="3"/>
      <c r="E24" s="2"/>
      <c r="F24" s="2"/>
      <c r="G24" s="2"/>
      <c r="I24" s="2"/>
      <c r="J24" s="2"/>
      <c r="K24" s="2"/>
      <c r="M24" s="2"/>
      <c r="O24" s="2"/>
    </row>
    <row r="25" spans="1:17">
      <c r="A25" s="2"/>
      <c r="B25" s="2"/>
      <c r="C25" s="2"/>
      <c r="D25" s="3"/>
      <c r="E25" s="2"/>
      <c r="F25" s="2"/>
      <c r="G25" s="2"/>
      <c r="I25" s="2"/>
      <c r="J25" s="2"/>
      <c r="K25" s="2"/>
      <c r="M25" s="2"/>
      <c r="O25" s="2"/>
    </row>
    <row r="26" spans="1:17">
      <c r="A26" s="2"/>
      <c r="B26" s="2"/>
      <c r="C26" s="2"/>
      <c r="D26" s="3"/>
      <c r="E26" s="2"/>
      <c r="F26" s="2"/>
      <c r="G26" s="2"/>
      <c r="I26" s="2"/>
      <c r="J26" s="2"/>
      <c r="K26" s="2"/>
      <c r="M26" s="2"/>
      <c r="O26" s="2"/>
    </row>
    <row r="27" spans="1:17">
      <c r="A27" s="2"/>
      <c r="B27" s="2"/>
      <c r="C27" s="2"/>
      <c r="D27" s="3"/>
      <c r="E27" s="2"/>
      <c r="F27" s="2"/>
      <c r="G27" s="2"/>
      <c r="I27" s="2"/>
      <c r="J27" s="2"/>
      <c r="K27" s="2"/>
      <c r="M27" s="2"/>
      <c r="O27" s="2"/>
    </row>
    <row r="28" spans="1:17">
      <c r="A28" s="2"/>
      <c r="B28" s="2"/>
      <c r="C28" s="2"/>
      <c r="D28" s="3"/>
      <c r="E28" s="2"/>
      <c r="F28" s="2"/>
      <c r="G28" s="2"/>
      <c r="I28" s="2"/>
      <c r="J28" s="2"/>
      <c r="K28" s="2"/>
      <c r="M28" s="2"/>
      <c r="O28" s="2"/>
    </row>
    <row r="29" spans="1:17">
      <c r="A29" s="2"/>
      <c r="B29" s="2"/>
      <c r="C29" s="2"/>
      <c r="D29" s="3"/>
      <c r="E29" s="2"/>
      <c r="F29" s="2"/>
      <c r="G29" s="2"/>
      <c r="I29" s="2"/>
      <c r="J29" s="2"/>
      <c r="K29" s="2"/>
      <c r="M29" s="2"/>
      <c r="O29" s="2"/>
    </row>
    <row r="30" spans="1:17">
      <c r="A30" s="2"/>
      <c r="B30" s="2"/>
      <c r="C30" s="2"/>
      <c r="D30" s="3"/>
      <c r="E30" s="2"/>
      <c r="F30" s="2"/>
      <c r="G30" s="2"/>
      <c r="I30" s="2"/>
      <c r="J30" s="2"/>
      <c r="K30" s="2"/>
      <c r="M30" s="2"/>
      <c r="O30" s="2"/>
    </row>
    <row r="31" spans="1:17">
      <c r="A31" s="2"/>
      <c r="B31" s="2"/>
      <c r="C31" s="2"/>
      <c r="D31" s="3"/>
      <c r="E31" s="2"/>
      <c r="F31" s="2"/>
      <c r="G31" s="2"/>
      <c r="I31" s="2"/>
      <c r="J31" s="2"/>
      <c r="K31" s="2"/>
      <c r="M31" s="2"/>
      <c r="O31" s="2"/>
    </row>
    <row r="32" spans="1:17">
      <c r="A32" s="2"/>
      <c r="B32" s="2"/>
      <c r="C32" s="2"/>
      <c r="D32" s="3"/>
      <c r="E32" s="2"/>
      <c r="F32" s="2"/>
      <c r="G32" s="2"/>
      <c r="I32" s="2"/>
      <c r="J32" s="2"/>
      <c r="K32" s="2"/>
      <c r="M32" s="2"/>
      <c r="O32" s="2"/>
    </row>
    <row r="33" spans="1:15">
      <c r="A33" s="2"/>
      <c r="B33" s="2"/>
      <c r="C33" s="2"/>
      <c r="D33" s="3"/>
      <c r="E33" s="2"/>
      <c r="F33" s="2"/>
      <c r="G33" s="2"/>
      <c r="I33" s="2"/>
      <c r="J33" s="2"/>
      <c r="K33" s="2"/>
      <c r="M33" s="2"/>
      <c r="O33" s="2"/>
    </row>
    <row r="37" spans="1:15">
      <c r="A37" s="8"/>
      <c r="B37" s="8"/>
      <c r="C37" s="8"/>
      <c r="D37" s="8"/>
      <c r="E37" s="8"/>
      <c r="F37" s="8"/>
      <c r="G37" s="8"/>
      <c r="I37" s="8"/>
      <c r="J37" s="8"/>
      <c r="K37" s="8"/>
      <c r="M37" s="8"/>
      <c r="O37" s="8"/>
    </row>
    <row r="38" spans="1:15">
      <c r="A38" s="2"/>
      <c r="B38" s="2"/>
      <c r="C38" s="2"/>
      <c r="D38" s="3"/>
      <c r="E38" s="2"/>
      <c r="F38" s="2"/>
      <c r="G38" s="2"/>
      <c r="I38" s="2"/>
      <c r="J38" s="2"/>
      <c r="K38" s="2"/>
      <c r="M38" s="2"/>
      <c r="O38" s="2"/>
    </row>
    <row r="39" spans="1:15">
      <c r="A39" s="2"/>
      <c r="B39" s="2"/>
      <c r="C39" s="2"/>
      <c r="D39" s="3"/>
      <c r="E39" s="2"/>
      <c r="F39" s="2"/>
      <c r="G39" s="2"/>
      <c r="I39" s="2"/>
      <c r="J39" s="2"/>
      <c r="K39" s="2"/>
      <c r="M39" s="2"/>
      <c r="O39" s="2"/>
    </row>
    <row r="40" spans="1:15">
      <c r="A40" s="2"/>
      <c r="B40" s="2"/>
      <c r="C40" s="2"/>
      <c r="D40" s="3"/>
      <c r="E40" s="2"/>
      <c r="F40" s="2"/>
      <c r="G40" s="2"/>
      <c r="I40" s="2"/>
      <c r="J40" s="2"/>
      <c r="K40" s="2"/>
      <c r="M40" s="2"/>
      <c r="O40" s="2"/>
    </row>
    <row r="41" spans="1:15">
      <c r="A41" s="2"/>
      <c r="B41" s="2"/>
      <c r="C41" s="2"/>
      <c r="D41" s="3"/>
      <c r="E41" s="2"/>
      <c r="F41" s="2"/>
      <c r="G41" s="2"/>
      <c r="I41" s="2"/>
      <c r="J41" s="2"/>
      <c r="K41" s="2"/>
      <c r="M41" s="2"/>
      <c r="O41" s="2"/>
    </row>
    <row r="42" spans="1:15">
      <c r="A42" s="2"/>
      <c r="B42" s="2"/>
      <c r="C42" s="2"/>
      <c r="D42" s="3"/>
      <c r="E42" s="2"/>
      <c r="F42" s="2"/>
      <c r="G42" s="2"/>
      <c r="I42" s="2"/>
      <c r="J42" s="2"/>
      <c r="K42" s="2"/>
      <c r="M42" s="2"/>
      <c r="O42" s="2"/>
    </row>
    <row r="44" spans="1:15">
      <c r="A44" s="2"/>
      <c r="B44" s="2"/>
      <c r="C44" s="2"/>
      <c r="D44" s="3"/>
      <c r="E44" s="2"/>
      <c r="F44" s="2"/>
      <c r="G44" s="2"/>
      <c r="I44" s="2"/>
      <c r="J44" s="2"/>
      <c r="K44" s="2"/>
      <c r="M44" s="2"/>
      <c r="O44" s="2"/>
    </row>
    <row r="45" spans="1:15">
      <c r="A45" s="2"/>
      <c r="B45" s="2"/>
      <c r="C45" s="2"/>
      <c r="D45" s="3"/>
      <c r="E45" s="2"/>
      <c r="F45" s="2"/>
      <c r="G45" s="2"/>
      <c r="I45" s="2"/>
      <c r="J45" s="2"/>
      <c r="K45" s="2"/>
      <c r="M45" s="2"/>
      <c r="O45" s="2"/>
    </row>
    <row r="46" spans="1:15">
      <c r="A46" s="2"/>
      <c r="B46" s="2"/>
      <c r="C46" s="2"/>
      <c r="D46" s="3"/>
      <c r="E46" s="2"/>
      <c r="F46" s="2"/>
      <c r="G46" s="2"/>
      <c r="I46" s="2"/>
      <c r="J46" s="2"/>
      <c r="K46" s="2"/>
      <c r="M46" s="2"/>
      <c r="O46" s="2"/>
    </row>
    <row r="47" spans="1:15">
      <c r="A47" s="2"/>
      <c r="B47" s="2"/>
      <c r="C47" s="2"/>
      <c r="D47" s="3"/>
      <c r="E47" s="2"/>
      <c r="F47" s="2"/>
      <c r="G47" s="2"/>
      <c r="I47" s="2"/>
      <c r="J47" s="2"/>
      <c r="K47" s="2"/>
      <c r="M47" s="2"/>
      <c r="O47" s="2"/>
    </row>
    <row r="48" spans="1:15">
      <c r="A48" s="2"/>
      <c r="B48" s="2"/>
      <c r="C48" s="2"/>
      <c r="D48" s="3"/>
      <c r="E48" s="2"/>
      <c r="F48" s="2"/>
      <c r="G48" s="2"/>
      <c r="I48" s="2"/>
      <c r="J48" s="2"/>
      <c r="K48" s="2"/>
      <c r="M48" s="2"/>
      <c r="O4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AB55-484E-4714-8463-BF39C9DCC14A}">
  <dimension ref="A1:Q22"/>
  <sheetViews>
    <sheetView workbookViewId="0">
      <selection activeCell="Q12" sqref="Q12"/>
    </sheetView>
  </sheetViews>
  <sheetFormatPr defaultRowHeight="15"/>
  <cols>
    <col min="1" max="1" width="9.140625" style="2"/>
    <col min="2" max="2" width="11.28515625" style="2" bestFit="1" customWidth="1"/>
    <col min="3" max="3" width="15.42578125" style="2" bestFit="1" customWidth="1"/>
    <col min="4" max="4" width="20.28515625" style="2" bestFit="1" customWidth="1"/>
    <col min="5" max="5" width="24.7109375" style="2" bestFit="1" customWidth="1"/>
    <col min="6" max="6" width="14.5703125" style="2" bestFit="1" customWidth="1"/>
    <col min="7" max="7" width="16.28515625" style="2" bestFit="1" customWidth="1"/>
    <col min="8" max="8" width="9" style="2" bestFit="1" customWidth="1"/>
    <col min="9" max="9" width="19.42578125" style="2" bestFit="1" customWidth="1"/>
    <col min="10" max="10" width="9.28515625" style="2" bestFit="1" customWidth="1"/>
    <col min="11" max="11" width="17.42578125" style="2" bestFit="1" customWidth="1"/>
    <col min="12" max="12" width="16.140625" style="2" bestFit="1" customWidth="1"/>
    <col min="13" max="13" width="16.7109375" style="2" bestFit="1" customWidth="1"/>
    <col min="14" max="14" width="14.5703125" bestFit="1" customWidth="1"/>
    <col min="15" max="15" width="17.7109375" style="2" bestFit="1" customWidth="1"/>
    <col min="16" max="16" width="9.140625" style="2"/>
    <col min="17" max="17" width="11.5703125" style="2" bestFit="1" customWidth="1"/>
    <col min="18" max="16384" width="9.140625" style="2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9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64396000000</v>
      </c>
      <c r="C2" s="4">
        <v>-5792000000</v>
      </c>
      <c r="D2" s="2">
        <f t="shared" ref="D2" si="0">ROUND(C2/B2*100,2)</f>
        <v>-8.99</v>
      </c>
      <c r="E2" s="4">
        <v>-6334000000</v>
      </c>
      <c r="F2" s="4">
        <v>-5717900000</v>
      </c>
      <c r="G2" s="2">
        <f>ROUND(F2/B2*100,2)</f>
        <v>-8.8800000000000008</v>
      </c>
      <c r="H2" s="2">
        <v>-70.8</v>
      </c>
      <c r="I2" s="4">
        <v>7071000000</v>
      </c>
      <c r="J2" s="4">
        <v>2165000000</v>
      </c>
      <c r="K2" s="2">
        <f t="shared" ref="K2" si="1">ROUND(J2/I2*100,2)</f>
        <v>30.62</v>
      </c>
      <c r="L2" s="2">
        <v>0</v>
      </c>
      <c r="M2" s="2">
        <f t="shared" ref="M2:M22" si="2">O2-P2</f>
        <v>-1531</v>
      </c>
      <c r="N2" s="2">
        <v>264</v>
      </c>
      <c r="O2" s="2">
        <v>484</v>
      </c>
      <c r="P2" s="2">
        <v>2015</v>
      </c>
      <c r="Q2" s="2">
        <v>0</v>
      </c>
    </row>
    <row r="3" spans="1:17">
      <c r="A3" s="2">
        <v>2016</v>
      </c>
      <c r="B3" s="6">
        <v>53933000000</v>
      </c>
      <c r="C3" s="4">
        <v>1072000000</v>
      </c>
      <c r="D3" s="2">
        <f t="shared" ref="D3:D12" si="3">ROUND(C3/B3*100,2)</f>
        <v>1.99</v>
      </c>
      <c r="E3" s="4">
        <v>202000000</v>
      </c>
      <c r="F3" s="4">
        <v>256000000</v>
      </c>
      <c r="G3" s="2">
        <f>ROUND(F3/B3*100,2)</f>
        <v>0.47</v>
      </c>
      <c r="H3" s="2">
        <v>2.77</v>
      </c>
      <c r="I3" s="4">
        <v>8616000000</v>
      </c>
      <c r="J3" s="4">
        <v>3082000000</v>
      </c>
      <c r="K3" s="2">
        <f t="shared" ref="K3:K12" si="4">ROUND(J3/I3*100,2)</f>
        <v>35.770000000000003</v>
      </c>
      <c r="L3" s="2">
        <v>3.22</v>
      </c>
      <c r="M3" s="2">
        <f t="shared" si="2"/>
        <v>1511</v>
      </c>
      <c r="N3" s="10">
        <v>234</v>
      </c>
      <c r="O3" s="2">
        <v>2126</v>
      </c>
      <c r="P3" s="2">
        <v>615</v>
      </c>
      <c r="Q3" s="2">
        <v>0</v>
      </c>
    </row>
    <row r="4" spans="1:17">
      <c r="A4" s="2">
        <v>2017</v>
      </c>
      <c r="B4" s="6">
        <v>55917000000</v>
      </c>
      <c r="C4" s="4">
        <v>1017000000</v>
      </c>
      <c r="D4" s="2">
        <f t="shared" si="3"/>
        <v>1.82</v>
      </c>
      <c r="E4" s="4">
        <v>145000000</v>
      </c>
      <c r="F4" s="4">
        <v>58000000</v>
      </c>
      <c r="G4" s="2">
        <f>ROUND(F4/B4*100,2)</f>
        <v>0.1</v>
      </c>
      <c r="H4" s="2">
        <v>0.49</v>
      </c>
      <c r="I4" s="4">
        <v>6414000000</v>
      </c>
      <c r="J4" s="4">
        <v>3821000000</v>
      </c>
      <c r="K4" s="2">
        <f t="shared" si="4"/>
        <v>59.57</v>
      </c>
      <c r="L4" s="2">
        <v>0.81</v>
      </c>
      <c r="M4" s="2">
        <f t="shared" si="2"/>
        <v>2268</v>
      </c>
      <c r="N4" s="10">
        <v>235</v>
      </c>
      <c r="O4" s="2">
        <v>1989</v>
      </c>
      <c r="P4" s="2">
        <v>-279</v>
      </c>
      <c r="Q4" s="2">
        <v>0</v>
      </c>
    </row>
    <row r="5" spans="1:17">
      <c r="A5" s="2">
        <v>2018</v>
      </c>
      <c r="B5" s="6">
        <v>57493000000</v>
      </c>
      <c r="C5" s="4">
        <v>1839000000</v>
      </c>
      <c r="D5" s="2">
        <f t="shared" si="3"/>
        <v>3.2</v>
      </c>
      <c r="E5" s="4">
        <v>1300000000</v>
      </c>
      <c r="F5" s="4">
        <v>994000000</v>
      </c>
      <c r="G5" s="2">
        <f>ROUND(F5/B5*100,2)</f>
        <v>1.73</v>
      </c>
      <c r="H5" s="2">
        <v>14.8</v>
      </c>
      <c r="I5" s="4">
        <v>10480000000</v>
      </c>
      <c r="J5" s="4">
        <v>4059000000</v>
      </c>
      <c r="K5" s="2">
        <f t="shared" si="4"/>
        <v>38.729999999999997</v>
      </c>
      <c r="L5" s="2">
        <v>3</v>
      </c>
      <c r="M5" s="2">
        <f t="shared" si="2"/>
        <v>3448</v>
      </c>
      <c r="N5" s="10">
        <v>234</v>
      </c>
      <c r="O5" s="2">
        <v>2805</v>
      </c>
      <c r="P5" s="2">
        <v>-643</v>
      </c>
      <c r="Q5" s="2">
        <v>0</v>
      </c>
    </row>
    <row r="6" spans="1:17">
      <c r="A6" s="2">
        <v>2019</v>
      </c>
      <c r="B6" s="6">
        <v>63911000000</v>
      </c>
      <c r="C6" s="4">
        <v>2153000000</v>
      </c>
      <c r="D6" s="2">
        <f t="shared" si="3"/>
        <v>3.37</v>
      </c>
      <c r="E6" s="4">
        <v>1674000000</v>
      </c>
      <c r="F6" s="4">
        <v>1320000000</v>
      </c>
      <c r="G6" s="2">
        <f>ROUND(F6/B6*100,2)</f>
        <v>2.0699999999999998</v>
      </c>
      <c r="H6" s="2">
        <v>13.65</v>
      </c>
      <c r="I6" s="4">
        <v>14834000000</v>
      </c>
      <c r="J6" s="4">
        <v>2916000000</v>
      </c>
      <c r="K6" s="2">
        <f t="shared" si="4"/>
        <v>19.66</v>
      </c>
      <c r="L6" s="2">
        <v>5.77</v>
      </c>
      <c r="M6" s="2">
        <f t="shared" si="2"/>
        <v>823</v>
      </c>
      <c r="N6" s="10">
        <v>289</v>
      </c>
      <c r="O6" s="2">
        <v>1966</v>
      </c>
      <c r="P6" s="2">
        <v>1143</v>
      </c>
      <c r="Q6" s="2">
        <v>0</v>
      </c>
    </row>
    <row r="7" spans="1:17">
      <c r="A7" s="2">
        <v>2020</v>
      </c>
      <c r="B7" s="6">
        <v>58091000000</v>
      </c>
      <c r="C7" s="4">
        <v>2206000000</v>
      </c>
      <c r="D7" s="2">
        <f t="shared" si="3"/>
        <v>3.8</v>
      </c>
      <c r="E7" s="4">
        <v>1028000000</v>
      </c>
      <c r="F7" s="4">
        <v>738000000</v>
      </c>
      <c r="G7" s="2">
        <f>ROUND(F7/B7*100,2)</f>
        <v>1.27</v>
      </c>
      <c r="H7" s="2">
        <v>9.99</v>
      </c>
      <c r="I7" s="4">
        <v>13369000000</v>
      </c>
      <c r="J7" s="4">
        <v>3031000000</v>
      </c>
      <c r="K7" s="2">
        <f t="shared" si="4"/>
        <v>22.67</v>
      </c>
      <c r="L7" s="2">
        <v>3.2</v>
      </c>
      <c r="M7" s="2">
        <f t="shared" si="2"/>
        <v>2446</v>
      </c>
      <c r="N7" s="10">
        <v>295</v>
      </c>
      <c r="O7" s="2">
        <v>48</v>
      </c>
      <c r="P7" s="2">
        <v>-2398</v>
      </c>
      <c r="Q7" s="2">
        <v>1</v>
      </c>
    </row>
    <row r="8" spans="1:17">
      <c r="A8" s="2">
        <v>2021</v>
      </c>
      <c r="B8" s="6">
        <v>57887000000</v>
      </c>
      <c r="C8" s="4">
        <v>1736000000</v>
      </c>
      <c r="D8" s="2">
        <f t="shared" si="3"/>
        <v>3</v>
      </c>
      <c r="E8" s="4">
        <v>825000000</v>
      </c>
      <c r="F8" s="4">
        <v>721000000</v>
      </c>
      <c r="G8" s="2">
        <f>ROUND(F8/B8*100,2)</f>
        <v>1.25</v>
      </c>
      <c r="H8" s="2">
        <v>63.8</v>
      </c>
      <c r="I8" s="4">
        <v>12325000000</v>
      </c>
      <c r="J8" s="4">
        <v>1978000000</v>
      </c>
      <c r="K8" s="2">
        <f t="shared" si="4"/>
        <v>16.05</v>
      </c>
      <c r="L8" s="2">
        <v>9.15</v>
      </c>
      <c r="M8" s="2">
        <f t="shared" si="2"/>
        <v>6773</v>
      </c>
      <c r="N8" s="10">
        <v>278</v>
      </c>
      <c r="O8" s="2">
        <v>602</v>
      </c>
      <c r="P8" s="2">
        <v>-6171</v>
      </c>
      <c r="Q8" s="2">
        <v>0</v>
      </c>
    </row>
    <row r="9" spans="1:17">
      <c r="A9" s="2">
        <v>2022</v>
      </c>
      <c r="B9" s="6">
        <v>61334000000</v>
      </c>
      <c r="C9" s="4">
        <v>2560000000</v>
      </c>
      <c r="D9" s="2">
        <f t="shared" si="3"/>
        <v>4.17</v>
      </c>
      <c r="E9" s="4">
        <v>2033000000</v>
      </c>
      <c r="F9" s="4">
        <v>1483000000</v>
      </c>
      <c r="G9" s="2">
        <f>ROUND(F9/B9*100,2)</f>
        <v>2.42</v>
      </c>
      <c r="H9" s="2">
        <v>19.86</v>
      </c>
      <c r="I9" s="4">
        <v>15644000000</v>
      </c>
      <c r="J9" s="4">
        <v>818000000</v>
      </c>
      <c r="K9" s="2">
        <f t="shared" si="4"/>
        <v>5.23</v>
      </c>
      <c r="L9" s="2">
        <v>10.9</v>
      </c>
      <c r="M9" s="2">
        <f t="shared" si="2"/>
        <v>2022</v>
      </c>
      <c r="N9" s="10">
        <v>260</v>
      </c>
      <c r="O9" s="2">
        <v>3757</v>
      </c>
      <c r="P9" s="2">
        <v>1735</v>
      </c>
      <c r="Q9" s="2">
        <v>0</v>
      </c>
    </row>
    <row r="10" spans="1:17">
      <c r="A10" s="2">
        <v>2023</v>
      </c>
      <c r="B10" s="6">
        <v>65762000000</v>
      </c>
      <c r="C10" s="4">
        <v>1525000000</v>
      </c>
      <c r="D10" s="2">
        <f t="shared" si="3"/>
        <v>2.3199999999999998</v>
      </c>
      <c r="E10" s="4">
        <v>1000000000</v>
      </c>
      <c r="F10" s="4">
        <v>744000000</v>
      </c>
      <c r="G10" s="2">
        <f>ROUND(F10/B10*100,2)</f>
        <v>1.1299999999999999</v>
      </c>
      <c r="H10" s="2">
        <v>10.050000000000001</v>
      </c>
      <c r="I10" s="4">
        <v>12230000000</v>
      </c>
      <c r="J10" s="4">
        <v>1319000000</v>
      </c>
      <c r="K10" s="2">
        <f t="shared" si="4"/>
        <v>10.78</v>
      </c>
      <c r="L10" s="2">
        <v>7.05</v>
      </c>
      <c r="M10" s="2">
        <f t="shared" si="2"/>
        <v>3013</v>
      </c>
      <c r="N10" s="10">
        <v>236</v>
      </c>
      <c r="O10" s="2">
        <v>3722</v>
      </c>
      <c r="P10" s="2">
        <v>709</v>
      </c>
      <c r="Q10" s="2">
        <v>0</v>
      </c>
    </row>
    <row r="11" spans="1:17">
      <c r="A11" s="2">
        <v>2024</v>
      </c>
      <c r="B11" s="6">
        <v>68187000000</v>
      </c>
      <c r="C11" s="4">
        <v>2829000000</v>
      </c>
      <c r="D11" s="2">
        <f t="shared" si="3"/>
        <v>4.1500000000000004</v>
      </c>
      <c r="E11" s="4">
        <v>2289000000</v>
      </c>
      <c r="F11" s="4">
        <v>1764000000</v>
      </c>
      <c r="G11" s="2">
        <f>ROUND(F11/B11*100,2)</f>
        <v>2.59</v>
      </c>
      <c r="H11" s="2">
        <v>16.739999999999998</v>
      </c>
      <c r="I11" s="4">
        <v>11665000000</v>
      </c>
      <c r="J11" s="4">
        <v>1771000000</v>
      </c>
      <c r="K11" s="2">
        <f t="shared" si="4"/>
        <v>15.18</v>
      </c>
      <c r="L11" s="2">
        <v>12.1</v>
      </c>
      <c r="M11" s="2">
        <f t="shared" si="2"/>
        <v>2139</v>
      </c>
      <c r="N11" s="10">
        <v>268</v>
      </c>
      <c r="O11" s="2">
        <v>3839</v>
      </c>
      <c r="P11" s="2">
        <v>1700</v>
      </c>
      <c r="Q11" s="2">
        <v>0</v>
      </c>
    </row>
    <row r="12" spans="1:17">
      <c r="A12" s="2">
        <v>2025</v>
      </c>
      <c r="B12" s="6">
        <v>69916000000</v>
      </c>
      <c r="C12" s="4">
        <v>2711000000</v>
      </c>
      <c r="D12" s="2">
        <f t="shared" si="3"/>
        <v>3.88</v>
      </c>
      <c r="E12" s="4">
        <v>2215000000</v>
      </c>
      <c r="F12" s="4">
        <v>1604000000</v>
      </c>
      <c r="G12" s="2">
        <f>ROUND(F12/B12*100,2)</f>
        <v>2.29</v>
      </c>
      <c r="H12" s="2">
        <v>23.79</v>
      </c>
      <c r="I12" s="4">
        <v>11662000000</v>
      </c>
      <c r="J12" s="4">
        <v>1565000000</v>
      </c>
      <c r="K12" s="2">
        <f t="shared" si="4"/>
        <v>13.42</v>
      </c>
      <c r="L12" s="2">
        <v>13.7</v>
      </c>
      <c r="M12" s="2">
        <f t="shared" si="2"/>
        <v>2481</v>
      </c>
      <c r="N12" s="10">
        <v>349</v>
      </c>
      <c r="O12" s="2">
        <v>2922</v>
      </c>
      <c r="P12" s="2">
        <v>441</v>
      </c>
      <c r="Q12" s="2">
        <v>1</v>
      </c>
    </row>
    <row r="13" spans="1:17">
      <c r="A13" s="2">
        <v>2015.5</v>
      </c>
      <c r="B13" s="6">
        <v>27338000000</v>
      </c>
      <c r="C13" s="4">
        <v>515000000</v>
      </c>
      <c r="D13" s="2">
        <f t="shared" ref="D13:D22" si="5">ROUND(C13/B13*100,2)</f>
        <v>1.88</v>
      </c>
      <c r="E13" s="4">
        <v>71000000</v>
      </c>
      <c r="F13" s="4">
        <v>31000000</v>
      </c>
      <c r="G13" s="2">
        <f>ROUND(F13/B13*100,2)</f>
        <v>0.11</v>
      </c>
      <c r="H13" s="2">
        <v>1.1200000000000001</v>
      </c>
      <c r="I13" s="4">
        <v>5911000000</v>
      </c>
      <c r="J13" s="4">
        <v>3355000000</v>
      </c>
      <c r="K13" s="2">
        <f t="shared" ref="K13:K22" si="6">ROUND(J13/I13*100,2)</f>
        <v>56.76</v>
      </c>
      <c r="L13" s="2">
        <v>0</v>
      </c>
      <c r="M13" s="2">
        <f t="shared" si="2"/>
        <v>-1</v>
      </c>
      <c r="N13" s="10">
        <v>287</v>
      </c>
      <c r="O13" s="2">
        <v>900</v>
      </c>
      <c r="P13" s="2">
        <v>901</v>
      </c>
      <c r="Q13" s="2">
        <v>0</v>
      </c>
    </row>
    <row r="14" spans="1:17">
      <c r="A14" s="2">
        <v>2016.5</v>
      </c>
      <c r="B14" s="6">
        <v>28348000000</v>
      </c>
      <c r="C14" s="4">
        <v>885000000</v>
      </c>
      <c r="D14" s="2">
        <f t="shared" si="5"/>
        <v>3.12</v>
      </c>
      <c r="E14" s="4">
        <v>562000000</v>
      </c>
      <c r="F14" s="4">
        <v>424000000</v>
      </c>
      <c r="G14" s="2">
        <f>ROUND(F14/B14*100,2)</f>
        <v>1.5</v>
      </c>
      <c r="H14" s="2">
        <v>7.81</v>
      </c>
      <c r="I14" s="4">
        <v>10549000000</v>
      </c>
      <c r="J14" s="4">
        <v>4319000000</v>
      </c>
      <c r="K14" s="2">
        <f t="shared" si="6"/>
        <v>40.94</v>
      </c>
      <c r="L14" s="2">
        <v>1</v>
      </c>
      <c r="M14" s="2">
        <f t="shared" si="2"/>
        <v>1046</v>
      </c>
      <c r="N14" s="10">
        <v>217</v>
      </c>
      <c r="O14" s="2">
        <v>1087</v>
      </c>
      <c r="P14" s="2">
        <v>41</v>
      </c>
      <c r="Q14" s="2">
        <v>0</v>
      </c>
    </row>
    <row r="15" spans="1:17">
      <c r="A15" s="2">
        <v>2017.5</v>
      </c>
      <c r="B15" s="6">
        <v>31734000000</v>
      </c>
      <c r="C15" s="4">
        <v>1007000000</v>
      </c>
      <c r="D15" s="2">
        <f t="shared" si="5"/>
        <v>3.17</v>
      </c>
      <c r="E15" s="4">
        <v>463000000</v>
      </c>
      <c r="F15" s="4">
        <v>338000000</v>
      </c>
      <c r="G15" s="2">
        <f>ROUND(F15/B15*100,2)</f>
        <v>1.07</v>
      </c>
      <c r="H15" s="2">
        <v>3.49</v>
      </c>
      <c r="I15" s="4">
        <v>12928000000</v>
      </c>
      <c r="J15" s="4">
        <v>3243000000</v>
      </c>
      <c r="K15" s="2">
        <f t="shared" si="6"/>
        <v>25.09</v>
      </c>
      <c r="L15" s="2">
        <v>1.67</v>
      </c>
      <c r="M15" s="2">
        <f t="shared" si="2"/>
        <v>662</v>
      </c>
      <c r="N15" s="10">
        <v>236</v>
      </c>
      <c r="O15" s="2">
        <v>1189</v>
      </c>
      <c r="P15" s="2">
        <v>527</v>
      </c>
      <c r="Q15" s="2">
        <v>0</v>
      </c>
    </row>
    <row r="16" spans="1:17">
      <c r="A16" s="2">
        <v>2018.5</v>
      </c>
      <c r="B16" s="6">
        <v>31909000000</v>
      </c>
      <c r="C16" s="4">
        <v>1134000000</v>
      </c>
      <c r="D16" s="2">
        <f t="shared" si="5"/>
        <v>3.55</v>
      </c>
      <c r="E16" s="4">
        <v>494000000</v>
      </c>
      <c r="F16" s="4">
        <v>324000000</v>
      </c>
      <c r="G16" s="2">
        <f>ROUND(F16/B16*100,2)</f>
        <v>1.02</v>
      </c>
      <c r="H16" s="2">
        <v>3.34</v>
      </c>
      <c r="I16" s="4">
        <v>13963000000</v>
      </c>
      <c r="J16" s="4">
        <v>2656000000</v>
      </c>
      <c r="K16" s="2">
        <f t="shared" si="6"/>
        <v>19.02</v>
      </c>
      <c r="L16" s="2">
        <v>2.65</v>
      </c>
      <c r="M16" s="2">
        <f t="shared" si="2"/>
        <v>971</v>
      </c>
      <c r="N16" s="10">
        <v>283</v>
      </c>
      <c r="O16" s="2">
        <v>1312</v>
      </c>
      <c r="P16" s="2">
        <v>341</v>
      </c>
      <c r="Q16" s="2">
        <v>0</v>
      </c>
    </row>
    <row r="17" spans="1:17">
      <c r="A17" s="2">
        <v>2019.5</v>
      </c>
      <c r="B17" s="6">
        <v>28178000000</v>
      </c>
      <c r="C17" s="4">
        <v>1007000000</v>
      </c>
      <c r="D17" s="2">
        <f t="shared" si="5"/>
        <v>3.57</v>
      </c>
      <c r="E17" s="4">
        <v>551000000</v>
      </c>
      <c r="F17" s="4">
        <v>397000000</v>
      </c>
      <c r="G17" s="2">
        <f>ROUND(F17/B17*100,2)</f>
        <v>1.41</v>
      </c>
      <c r="H17" s="2">
        <v>4.72</v>
      </c>
      <c r="I17" s="4">
        <v>12197000000</v>
      </c>
      <c r="J17" s="4">
        <v>2754000000</v>
      </c>
      <c r="K17" s="2">
        <f t="shared" si="6"/>
        <v>22.58</v>
      </c>
      <c r="L17" s="2">
        <v>7.29</v>
      </c>
      <c r="M17" s="2">
        <f t="shared" si="2"/>
        <v>1387</v>
      </c>
      <c r="N17" s="10">
        <v>291</v>
      </c>
      <c r="O17" s="2">
        <v>1600</v>
      </c>
      <c r="P17" s="2">
        <v>213</v>
      </c>
      <c r="Q17" s="2">
        <v>0</v>
      </c>
    </row>
    <row r="18" spans="1:17">
      <c r="A18" s="2">
        <v>2020.5</v>
      </c>
      <c r="B18" s="6">
        <v>30416000000</v>
      </c>
      <c r="C18" s="4">
        <v>1304000000</v>
      </c>
      <c r="D18" s="2">
        <f t="shared" si="5"/>
        <v>4.29</v>
      </c>
      <c r="E18" s="4">
        <v>1143000000</v>
      </c>
      <c r="F18" s="4">
        <v>830000000</v>
      </c>
      <c r="G18" s="2">
        <f>ROUND(F18/B18*100,2)</f>
        <v>2.73</v>
      </c>
      <c r="H18" s="2">
        <v>10.16</v>
      </c>
      <c r="I18" s="4">
        <v>13336000000</v>
      </c>
      <c r="J18" s="4">
        <v>1554000000</v>
      </c>
      <c r="K18" s="2">
        <f t="shared" si="6"/>
        <v>11.65</v>
      </c>
      <c r="L18" s="2">
        <v>11.22</v>
      </c>
      <c r="M18" s="2">
        <f t="shared" si="2"/>
        <v>436</v>
      </c>
      <c r="N18" s="10">
        <v>299</v>
      </c>
      <c r="O18" s="2">
        <v>2098</v>
      </c>
      <c r="P18" s="2">
        <v>1662</v>
      </c>
      <c r="Q18" s="2">
        <v>0</v>
      </c>
    </row>
    <row r="19" spans="1:17">
      <c r="A19" s="2">
        <v>2021.5</v>
      </c>
      <c r="B19" s="6">
        <v>32519000000</v>
      </c>
      <c r="C19" s="4">
        <v>721000000</v>
      </c>
      <c r="D19" s="2">
        <f t="shared" si="5"/>
        <v>2.2200000000000002</v>
      </c>
      <c r="E19" s="4">
        <v>396000000</v>
      </c>
      <c r="F19" s="4">
        <v>245000000</v>
      </c>
      <c r="G19" s="2">
        <f>ROUND(F19/B19*100,2)</f>
        <v>0.75</v>
      </c>
      <c r="H19" s="2">
        <v>3.21</v>
      </c>
      <c r="I19" s="4">
        <v>12057000000</v>
      </c>
      <c r="J19" s="4">
        <v>1584000000</v>
      </c>
      <c r="K19" s="2">
        <f t="shared" si="6"/>
        <v>13.14</v>
      </c>
      <c r="L19" s="2">
        <v>3.85</v>
      </c>
      <c r="M19" s="2">
        <f t="shared" si="2"/>
        <v>1318</v>
      </c>
      <c r="N19" s="10">
        <v>246</v>
      </c>
      <c r="O19" s="2">
        <v>1825</v>
      </c>
      <c r="P19" s="2">
        <v>507</v>
      </c>
      <c r="Q19" s="2">
        <v>0</v>
      </c>
    </row>
    <row r="20" spans="1:17">
      <c r="A20" s="2">
        <v>2022.5</v>
      </c>
      <c r="B20" s="6">
        <v>34149000000</v>
      </c>
      <c r="C20" s="4">
        <v>1482000000</v>
      </c>
      <c r="D20" s="2">
        <f t="shared" si="5"/>
        <v>4.34</v>
      </c>
      <c r="E20" s="4">
        <v>1217000000</v>
      </c>
      <c r="F20" s="4">
        <v>929000000</v>
      </c>
      <c r="G20" s="2">
        <f>ROUND(F20/B20*100,2)</f>
        <v>2.72</v>
      </c>
      <c r="H20" s="2">
        <v>12.93</v>
      </c>
      <c r="I20" s="4">
        <v>13666000000</v>
      </c>
      <c r="J20" s="4">
        <v>1849000000</v>
      </c>
      <c r="K20" s="2">
        <f t="shared" si="6"/>
        <v>13.53</v>
      </c>
      <c r="L20" s="2">
        <v>3.85</v>
      </c>
      <c r="M20" s="2">
        <f t="shared" si="2"/>
        <v>747</v>
      </c>
      <c r="N20" s="10">
        <v>275</v>
      </c>
      <c r="O20" s="2">
        <v>2312</v>
      </c>
      <c r="P20" s="2">
        <v>1565</v>
      </c>
      <c r="Q20" s="2">
        <v>0</v>
      </c>
    </row>
    <row r="21" spans="1:17">
      <c r="A21" s="2">
        <v>2023.5</v>
      </c>
      <c r="B21" s="6">
        <v>33801000000</v>
      </c>
      <c r="C21" s="4">
        <v>1426000000</v>
      </c>
      <c r="D21" s="2">
        <f t="shared" si="5"/>
        <v>4.22</v>
      </c>
      <c r="E21" s="4">
        <v>1161000000</v>
      </c>
      <c r="F21" s="4">
        <v>929000000</v>
      </c>
      <c r="G21" s="2">
        <f>ROUND(F21/B21*100,2)</f>
        <v>2.75</v>
      </c>
      <c r="H21" s="2">
        <v>12.93</v>
      </c>
      <c r="I21" s="4">
        <v>12057000000</v>
      </c>
      <c r="J21" s="4">
        <v>1849000000</v>
      </c>
      <c r="K21" s="2">
        <f t="shared" si="6"/>
        <v>15.34</v>
      </c>
      <c r="L21" s="2">
        <v>12.1</v>
      </c>
      <c r="M21" s="2">
        <f t="shared" si="2"/>
        <v>747</v>
      </c>
      <c r="N21" s="10">
        <v>257</v>
      </c>
      <c r="O21" s="2">
        <v>2312</v>
      </c>
      <c r="P21" s="2">
        <v>1565</v>
      </c>
      <c r="Q21" s="2">
        <v>0</v>
      </c>
    </row>
    <row r="22" spans="1:17">
      <c r="A22" s="2">
        <v>2024.5</v>
      </c>
      <c r="B22" s="6">
        <v>34773000000</v>
      </c>
      <c r="C22" s="4">
        <v>1612000000</v>
      </c>
      <c r="D22" s="2">
        <f t="shared" si="5"/>
        <v>4.6399999999999997</v>
      </c>
      <c r="E22" s="4">
        <v>1392000000</v>
      </c>
      <c r="F22" s="4">
        <v>1051000000</v>
      </c>
      <c r="G22" s="2">
        <f>ROUND(F22/B22*100,2)</f>
        <v>3.02</v>
      </c>
      <c r="H22" s="2">
        <v>15.18</v>
      </c>
      <c r="I22" s="4">
        <v>11579000000</v>
      </c>
      <c r="J22" s="4">
        <v>2337000000</v>
      </c>
      <c r="K22" s="2">
        <f t="shared" si="6"/>
        <v>20.18</v>
      </c>
      <c r="L22" s="2">
        <v>13.7</v>
      </c>
      <c r="M22" s="2">
        <f t="shared" si="2"/>
        <v>2542</v>
      </c>
      <c r="N22" s="10">
        <v>294</v>
      </c>
      <c r="O22" s="2">
        <v>2043</v>
      </c>
      <c r="P22" s="2">
        <v>-499</v>
      </c>
      <c r="Q2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tabSelected="1" workbookViewId="0">
      <selection activeCell="A14" sqref="A14"/>
    </sheetView>
  </sheetViews>
  <sheetFormatPr defaultRowHeight="15"/>
  <cols>
    <col min="2" max="2" width="10.28515625" bestFit="1" customWidth="1"/>
    <col min="3" max="3" width="24.140625" bestFit="1" customWidth="1"/>
    <col min="4" max="4" width="20.28515625" bestFit="1" customWidth="1"/>
    <col min="5" max="5" width="24.7109375" bestFit="1" customWidth="1"/>
    <col min="6" max="6" width="14.5703125" bestFit="1" customWidth="1"/>
    <col min="7" max="7" width="20.28515625" bestFit="1" customWidth="1"/>
    <col min="8" max="8" width="16.140625" bestFit="1" customWidth="1"/>
    <col min="9" max="9" width="19.42578125" bestFit="1" customWidth="1"/>
    <col min="10" max="10" width="9.28515625" bestFit="1" customWidth="1"/>
    <col min="11" max="11" width="19.5703125" bestFit="1" customWidth="1"/>
    <col min="12" max="12" width="16.140625" bestFit="1" customWidth="1"/>
    <col min="13" max="13" width="16.7109375" bestFit="1" customWidth="1"/>
    <col min="14" max="14" width="16.7109375" customWidth="1"/>
    <col min="15" max="15" width="17.7109375" bestFit="1" customWidth="1"/>
    <col min="17" max="17" width="11.5703125" bestFit="1" customWidth="1"/>
  </cols>
  <sheetData>
    <row r="1" spans="1:17">
      <c r="A1" s="1" t="s">
        <v>0</v>
      </c>
      <c r="B1" s="1" t="s">
        <v>1</v>
      </c>
      <c r="C1" s="5" t="s">
        <v>5</v>
      </c>
      <c r="D1" s="5" t="s">
        <v>2</v>
      </c>
      <c r="E1" s="5" t="s">
        <v>8</v>
      </c>
      <c r="F1" s="5" t="s">
        <v>9</v>
      </c>
      <c r="G1" s="5" t="s">
        <v>7</v>
      </c>
      <c r="H1" s="5" t="s">
        <v>12</v>
      </c>
      <c r="I1" s="5" t="s">
        <v>10</v>
      </c>
      <c r="J1" s="5" t="s">
        <v>4</v>
      </c>
      <c r="K1" s="5" t="s">
        <v>6</v>
      </c>
      <c r="L1" s="5" t="s">
        <v>3</v>
      </c>
      <c r="M1" s="5" t="s">
        <v>11</v>
      </c>
      <c r="N1" s="11" t="s">
        <v>15</v>
      </c>
      <c r="O1" s="5" t="s">
        <v>13</v>
      </c>
      <c r="P1" s="5" t="s">
        <v>14</v>
      </c>
      <c r="Q1" s="14" t="s">
        <v>16</v>
      </c>
    </row>
    <row r="2" spans="1:17">
      <c r="A2" s="2">
        <v>2015</v>
      </c>
      <c r="B2" s="6">
        <v>10966000000</v>
      </c>
      <c r="C2" s="4">
        <v>698000000</v>
      </c>
      <c r="D2" s="2">
        <f t="shared" ref="D2:D12" si="0">ROUND(C2/B2*100,2)</f>
        <v>6.37</v>
      </c>
      <c r="E2" s="4">
        <v>644000000</v>
      </c>
      <c r="F2" s="4">
        <v>573000000</v>
      </c>
      <c r="G2" s="2">
        <f t="shared" ref="G2:G22" si="1">ROUND(F2/B2*100,2)</f>
        <v>5.23</v>
      </c>
      <c r="H2" s="2">
        <v>24.3</v>
      </c>
      <c r="I2" s="4">
        <v>6239000000</v>
      </c>
      <c r="J2" s="4">
        <v>470000000</v>
      </c>
      <c r="K2" s="2">
        <f t="shared" ref="K2:K12" si="2">ROUND(J2/I2*100,2)</f>
        <v>7.53</v>
      </c>
      <c r="L2" s="2">
        <v>10</v>
      </c>
      <c r="M2" s="2">
        <f t="shared" ref="M2:M22" si="3">O2-P2</f>
        <v>609</v>
      </c>
      <c r="N2" s="2">
        <v>307</v>
      </c>
      <c r="O2" s="2">
        <v>660</v>
      </c>
      <c r="P2" s="2">
        <v>51</v>
      </c>
      <c r="Q2" s="2">
        <v>0</v>
      </c>
    </row>
    <row r="3" spans="1:17">
      <c r="A3" s="2">
        <v>2016</v>
      </c>
      <c r="B3" s="6">
        <v>10331000000</v>
      </c>
      <c r="C3" s="4">
        <v>526000000</v>
      </c>
      <c r="D3" s="2">
        <f t="shared" si="0"/>
        <v>5.09</v>
      </c>
      <c r="E3" s="4">
        <v>512000000</v>
      </c>
      <c r="F3" s="4">
        <v>412000000</v>
      </c>
      <c r="G3" s="2">
        <f t="shared" si="1"/>
        <v>3.99</v>
      </c>
      <c r="H3" s="2">
        <v>17.8</v>
      </c>
      <c r="I3" s="4">
        <v>6186000000</v>
      </c>
      <c r="J3" s="4">
        <v>654000000</v>
      </c>
      <c r="K3" s="2">
        <f t="shared" si="2"/>
        <v>10.57</v>
      </c>
      <c r="L3" s="2">
        <v>10.1</v>
      </c>
      <c r="M3" s="2">
        <f t="shared" si="3"/>
        <v>599</v>
      </c>
      <c r="N3" s="2">
        <v>351.7</v>
      </c>
      <c r="O3" s="2">
        <v>813</v>
      </c>
      <c r="P3" s="2">
        <v>214</v>
      </c>
      <c r="Q3" s="2">
        <v>0</v>
      </c>
    </row>
    <row r="4" spans="1:17">
      <c r="A4" s="2">
        <v>2017</v>
      </c>
      <c r="B4" s="6">
        <v>11225000000</v>
      </c>
      <c r="C4" s="4">
        <v>773000000</v>
      </c>
      <c r="D4" s="2">
        <f t="shared" si="0"/>
        <v>6.89</v>
      </c>
      <c r="E4" s="4">
        <v>759000000</v>
      </c>
      <c r="F4" s="4">
        <v>610000000</v>
      </c>
      <c r="G4" s="2">
        <f t="shared" si="1"/>
        <v>5.43</v>
      </c>
      <c r="H4" s="2">
        <v>27.1</v>
      </c>
      <c r="I4" s="4">
        <v>6771000000</v>
      </c>
      <c r="J4" s="4">
        <v>795000000</v>
      </c>
      <c r="K4" s="2">
        <f t="shared" si="2"/>
        <v>11.74</v>
      </c>
      <c r="L4" s="2">
        <v>10.4</v>
      </c>
      <c r="M4" s="2">
        <f t="shared" si="3"/>
        <v>533</v>
      </c>
      <c r="N4" s="2">
        <v>354.1</v>
      </c>
      <c r="O4" s="2">
        <v>781</v>
      </c>
      <c r="P4" s="2">
        <v>248</v>
      </c>
      <c r="Q4" s="2">
        <v>0</v>
      </c>
    </row>
    <row r="5" spans="1:17">
      <c r="A5" s="2">
        <v>2018</v>
      </c>
      <c r="B5" s="6">
        <v>11655000000</v>
      </c>
      <c r="C5" s="4">
        <v>685000000</v>
      </c>
      <c r="D5" s="2">
        <f t="shared" si="0"/>
        <v>5.88</v>
      </c>
      <c r="E5" s="4">
        <v>682000000</v>
      </c>
      <c r="F5" s="4">
        <v>485000000</v>
      </c>
      <c r="G5" s="2">
        <f t="shared" si="1"/>
        <v>4.16</v>
      </c>
      <c r="H5" s="2">
        <v>22.1</v>
      </c>
      <c r="I5" s="4">
        <v>6748000000</v>
      </c>
      <c r="J5" s="4">
        <v>230000000</v>
      </c>
      <c r="K5" s="2">
        <f t="shared" si="2"/>
        <v>3.41</v>
      </c>
      <c r="L5" s="2">
        <v>10.8</v>
      </c>
      <c r="M5" s="2">
        <f t="shared" si="3"/>
        <v>-75</v>
      </c>
      <c r="N5" s="2">
        <v>307.5</v>
      </c>
      <c r="O5" s="2">
        <v>293</v>
      </c>
      <c r="P5" s="2">
        <v>368</v>
      </c>
      <c r="Q5" s="2">
        <v>0</v>
      </c>
    </row>
    <row r="6" spans="1:17">
      <c r="A6" s="2">
        <v>2019</v>
      </c>
      <c r="B6" s="6">
        <v>11685000000</v>
      </c>
      <c r="C6" s="4">
        <v>329000000</v>
      </c>
      <c r="D6" s="2">
        <f t="shared" si="0"/>
        <v>2.82</v>
      </c>
      <c r="E6" s="4">
        <v>322000000</v>
      </c>
      <c r="F6" s="4">
        <v>218000000</v>
      </c>
      <c r="G6" s="2">
        <f t="shared" si="1"/>
        <v>1.87</v>
      </c>
      <c r="H6" s="2">
        <v>10.3</v>
      </c>
      <c r="I6" s="4">
        <v>6657000000</v>
      </c>
      <c r="J6" s="4">
        <v>229000000</v>
      </c>
      <c r="K6" s="2">
        <f t="shared" si="2"/>
        <v>3.44</v>
      </c>
      <c r="L6" s="2">
        <v>10.8</v>
      </c>
      <c r="M6" s="2">
        <f t="shared" si="3"/>
        <v>371</v>
      </c>
      <c r="N6" s="2">
        <v>262.56</v>
      </c>
      <c r="O6" s="2">
        <v>649</v>
      </c>
      <c r="P6" s="2">
        <v>278</v>
      </c>
      <c r="Q6" s="2">
        <v>0</v>
      </c>
    </row>
    <row r="7" spans="1:17">
      <c r="A7" s="2">
        <v>2020</v>
      </c>
      <c r="B7" s="6">
        <v>11513000000</v>
      </c>
      <c r="C7" s="4">
        <v>283000000</v>
      </c>
      <c r="D7" s="2">
        <f t="shared" si="0"/>
        <v>2.46</v>
      </c>
      <c r="E7" s="4">
        <v>103000000</v>
      </c>
      <c r="F7" s="4">
        <v>8000000</v>
      </c>
      <c r="G7" s="2">
        <f t="shared" si="1"/>
        <v>7.0000000000000007E-2</v>
      </c>
      <c r="H7" s="2">
        <v>0.4</v>
      </c>
      <c r="I7" s="4">
        <v>5802000000</v>
      </c>
      <c r="J7" s="4">
        <v>195000000</v>
      </c>
      <c r="K7" s="2">
        <f t="shared" si="2"/>
        <v>3.36</v>
      </c>
      <c r="L7" s="2">
        <v>3.33</v>
      </c>
      <c r="M7" s="2">
        <f t="shared" si="3"/>
        <v>759</v>
      </c>
      <c r="N7" s="2">
        <v>208.81</v>
      </c>
      <c r="O7" s="2">
        <v>897</v>
      </c>
      <c r="P7" s="2">
        <v>138</v>
      </c>
      <c r="Q7" s="2">
        <v>0</v>
      </c>
    </row>
    <row r="8" spans="1:17">
      <c r="A8" s="2">
        <v>2021</v>
      </c>
      <c r="B8" s="6">
        <v>12343000000</v>
      </c>
      <c r="C8" s="4">
        <v>916000000</v>
      </c>
      <c r="D8" s="2">
        <f t="shared" si="0"/>
        <v>7.42</v>
      </c>
      <c r="E8" s="4">
        <v>756000000</v>
      </c>
      <c r="F8" s="4">
        <v>592000000</v>
      </c>
      <c r="G8" s="2">
        <f t="shared" si="1"/>
        <v>4.8</v>
      </c>
      <c r="H8" s="2">
        <v>28.1</v>
      </c>
      <c r="I8" s="4">
        <v>6571000000</v>
      </c>
      <c r="J8" s="4">
        <v>1136000000</v>
      </c>
      <c r="K8" s="2">
        <f t="shared" si="2"/>
        <v>17.29</v>
      </c>
      <c r="L8" s="2">
        <v>8.25</v>
      </c>
      <c r="M8" s="2">
        <f t="shared" si="3"/>
        <v>1443</v>
      </c>
      <c r="N8" s="2">
        <v>273.52</v>
      </c>
      <c r="O8" s="2">
        <v>1650</v>
      </c>
      <c r="P8" s="2">
        <v>207</v>
      </c>
      <c r="Q8" s="2">
        <v>0</v>
      </c>
    </row>
    <row r="9" spans="1:17">
      <c r="A9" s="2">
        <v>2022</v>
      </c>
      <c r="B9" s="6">
        <v>13183000000</v>
      </c>
      <c r="C9" s="4">
        <v>1144000000</v>
      </c>
      <c r="D9" s="2">
        <f t="shared" si="0"/>
        <v>8.68</v>
      </c>
      <c r="E9" s="4">
        <v>1007000000</v>
      </c>
      <c r="F9" s="4">
        <v>843000000</v>
      </c>
      <c r="G9" s="2">
        <f t="shared" si="1"/>
        <v>6.39</v>
      </c>
      <c r="H9" s="2">
        <v>40.299999999999997</v>
      </c>
      <c r="I9" s="4">
        <v>6778000000</v>
      </c>
      <c r="J9" s="4">
        <v>809000000</v>
      </c>
      <c r="K9" s="2">
        <f t="shared" si="2"/>
        <v>11.94</v>
      </c>
      <c r="L9" s="2">
        <v>12.4</v>
      </c>
      <c r="M9" s="2">
        <f t="shared" si="3"/>
        <v>793</v>
      </c>
      <c r="N9" s="2">
        <v>346.89</v>
      </c>
      <c r="O9" s="2">
        <v>1178</v>
      </c>
      <c r="P9" s="2">
        <v>385</v>
      </c>
      <c r="Q9" s="2">
        <v>0</v>
      </c>
    </row>
    <row r="10" spans="1:17">
      <c r="A10" s="2">
        <v>2023</v>
      </c>
      <c r="B10" s="6">
        <v>13059000000</v>
      </c>
      <c r="C10" s="4">
        <v>723000000</v>
      </c>
      <c r="D10" s="2">
        <f t="shared" si="0"/>
        <v>5.54</v>
      </c>
      <c r="E10" s="4">
        <v>611000000</v>
      </c>
      <c r="F10" s="4">
        <v>471000000</v>
      </c>
      <c r="G10" s="2">
        <f t="shared" si="1"/>
        <v>3.61</v>
      </c>
      <c r="H10" s="2">
        <v>23.8</v>
      </c>
      <c r="I10" s="4">
        <v>6663000000</v>
      </c>
      <c r="J10" s="4">
        <v>270000000</v>
      </c>
      <c r="K10" s="2">
        <f t="shared" si="2"/>
        <v>4.05</v>
      </c>
      <c r="L10" s="2">
        <v>12.4</v>
      </c>
      <c r="M10" s="2">
        <f t="shared" si="3"/>
        <v>388</v>
      </c>
      <c r="N10" s="2">
        <v>237.21</v>
      </c>
      <c r="O10" s="2">
        <v>820</v>
      </c>
      <c r="P10" s="2">
        <v>432</v>
      </c>
      <c r="Q10" s="2">
        <v>0</v>
      </c>
    </row>
    <row r="11" spans="1:17">
      <c r="A11" s="2">
        <v>2024</v>
      </c>
      <c r="B11" s="6">
        <v>12784000000</v>
      </c>
      <c r="C11" s="4">
        <v>580000000</v>
      </c>
      <c r="D11" s="2">
        <f t="shared" si="0"/>
        <v>4.54</v>
      </c>
      <c r="E11" s="4">
        <v>475000000</v>
      </c>
      <c r="F11" s="4">
        <v>345000000</v>
      </c>
      <c r="G11" s="2">
        <f t="shared" si="1"/>
        <v>2.7</v>
      </c>
      <c r="H11" s="2">
        <v>18.2</v>
      </c>
      <c r="I11" s="4">
        <v>6604000000</v>
      </c>
      <c r="J11" s="4">
        <v>353000000</v>
      </c>
      <c r="K11" s="2">
        <f t="shared" si="2"/>
        <v>5.35</v>
      </c>
      <c r="L11" s="2">
        <v>12.4</v>
      </c>
      <c r="M11" s="2">
        <f t="shared" si="3"/>
        <v>982</v>
      </c>
      <c r="N11" s="2">
        <v>227.22</v>
      </c>
      <c r="O11" s="2">
        <v>1321</v>
      </c>
      <c r="P11" s="2">
        <v>339</v>
      </c>
      <c r="Q11" s="2">
        <v>0</v>
      </c>
    </row>
    <row r="12" spans="1:17">
      <c r="A12" s="2">
        <v>2025</v>
      </c>
      <c r="B12" s="6">
        <v>12980000000</v>
      </c>
      <c r="C12" s="4">
        <v>407000000</v>
      </c>
      <c r="D12" s="2">
        <f t="shared" si="0"/>
        <v>3.14</v>
      </c>
      <c r="E12" s="4">
        <v>307000000</v>
      </c>
      <c r="F12" s="4">
        <v>185000000</v>
      </c>
      <c r="G12" s="2">
        <f t="shared" si="1"/>
        <v>1.43</v>
      </c>
      <c r="H12" s="2">
        <v>10.11</v>
      </c>
      <c r="I12" s="4">
        <v>6344000000</v>
      </c>
      <c r="J12" s="4">
        <v>336000000</v>
      </c>
      <c r="K12" s="2">
        <f t="shared" si="2"/>
        <v>5.3</v>
      </c>
      <c r="L12" s="2">
        <v>12.4</v>
      </c>
      <c r="M12" s="2">
        <f t="shared" si="3"/>
        <v>986</v>
      </c>
      <c r="N12" s="2">
        <v>283.33999999999997</v>
      </c>
      <c r="O12" s="2">
        <v>1302</v>
      </c>
      <c r="P12" s="2">
        <v>316</v>
      </c>
      <c r="Q12" s="2">
        <v>0</v>
      </c>
    </row>
    <row r="13" spans="1:17">
      <c r="A13" s="2">
        <v>2015.5</v>
      </c>
      <c r="B13" s="6">
        <v>5492000000</v>
      </c>
      <c r="C13" s="4">
        <v>394000000</v>
      </c>
      <c r="D13" s="2">
        <f t="shared" ref="D13" si="4">ROUND(C13/B13*100,2)</f>
        <v>7.17</v>
      </c>
      <c r="E13" s="4">
        <v>386000000</v>
      </c>
      <c r="F13" s="4">
        <v>318000000</v>
      </c>
      <c r="G13" s="2">
        <f t="shared" si="1"/>
        <v>5.79</v>
      </c>
      <c r="H13" s="2">
        <v>13.6</v>
      </c>
      <c r="I13" s="4">
        <v>6031000000</v>
      </c>
      <c r="J13" s="4">
        <v>494000000</v>
      </c>
      <c r="K13" s="2">
        <f t="shared" ref="K13" si="5">ROUND(J13/I13*100,2)</f>
        <v>8.19</v>
      </c>
      <c r="L13" s="2">
        <v>3.18</v>
      </c>
      <c r="M13" s="2">
        <f t="shared" si="3"/>
        <v>314</v>
      </c>
      <c r="N13" s="2">
        <v>353.57</v>
      </c>
      <c r="O13" s="2">
        <v>446</v>
      </c>
      <c r="P13" s="2">
        <v>132</v>
      </c>
      <c r="Q13" s="2">
        <v>1</v>
      </c>
    </row>
    <row r="14" spans="1:17">
      <c r="A14" s="2">
        <v>2016.5</v>
      </c>
      <c r="B14" s="6">
        <v>5749000000</v>
      </c>
      <c r="C14" s="4">
        <v>439000000</v>
      </c>
      <c r="D14" s="2">
        <f t="shared" ref="D14:D22" si="6">ROUND(C14/B14*100,2)</f>
        <v>7.64</v>
      </c>
      <c r="E14" s="4">
        <v>427000000</v>
      </c>
      <c r="F14" s="4">
        <v>321000000</v>
      </c>
      <c r="G14" s="2">
        <f t="shared" si="1"/>
        <v>5.58</v>
      </c>
      <c r="H14" s="2">
        <v>14.1</v>
      </c>
      <c r="I14" s="4">
        <v>6505000000</v>
      </c>
      <c r="J14" s="4">
        <v>1017000000</v>
      </c>
      <c r="K14" s="2">
        <f t="shared" ref="K14:K22" si="7">ROUND(J14/I14*100,2)</f>
        <v>15.63</v>
      </c>
      <c r="L14" s="2">
        <v>3.25</v>
      </c>
      <c r="M14" s="2">
        <f t="shared" si="3"/>
        <v>514</v>
      </c>
      <c r="N14" s="2">
        <v>348.09</v>
      </c>
      <c r="O14" s="2">
        <v>634</v>
      </c>
      <c r="P14" s="2">
        <v>120</v>
      </c>
      <c r="Q14" s="2">
        <v>0</v>
      </c>
    </row>
    <row r="15" spans="1:17">
      <c r="A15" s="2">
        <v>2017.5</v>
      </c>
      <c r="B15" s="6">
        <v>6008000000</v>
      </c>
      <c r="C15" s="4">
        <v>401000000</v>
      </c>
      <c r="D15" s="2">
        <f t="shared" si="6"/>
        <v>6.67</v>
      </c>
      <c r="E15" s="4">
        <v>402000000</v>
      </c>
      <c r="F15" s="4">
        <v>295000000</v>
      </c>
      <c r="G15" s="2">
        <f t="shared" si="1"/>
        <v>4.91</v>
      </c>
      <c r="H15" s="2">
        <v>13.3</v>
      </c>
      <c r="I15" s="4">
        <v>6840000000</v>
      </c>
      <c r="J15" s="4">
        <v>768000000</v>
      </c>
      <c r="K15" s="2">
        <f t="shared" si="7"/>
        <v>11.23</v>
      </c>
      <c r="L15" s="2">
        <v>3.33</v>
      </c>
      <c r="M15" s="2">
        <f t="shared" si="3"/>
        <v>276</v>
      </c>
      <c r="N15" s="2">
        <v>330.05</v>
      </c>
      <c r="O15" s="2">
        <v>398</v>
      </c>
      <c r="P15" s="2">
        <v>122</v>
      </c>
      <c r="Q15" s="2">
        <v>0</v>
      </c>
    </row>
    <row r="16" spans="1:17">
      <c r="A16" s="2">
        <v>2018.5</v>
      </c>
      <c r="B16" s="6">
        <v>6080000000</v>
      </c>
      <c r="C16" s="4">
        <v>36900000</v>
      </c>
      <c r="D16" s="2">
        <f t="shared" si="6"/>
        <v>0.61</v>
      </c>
      <c r="E16" s="4">
        <v>280000000</v>
      </c>
      <c r="F16" s="4">
        <v>206000000</v>
      </c>
      <c r="G16" s="2">
        <f t="shared" si="1"/>
        <v>3.39</v>
      </c>
      <c r="H16" s="2">
        <v>9.6</v>
      </c>
      <c r="I16" s="4">
        <v>6149000000</v>
      </c>
      <c r="J16" s="4">
        <v>181000000</v>
      </c>
      <c r="K16" s="2">
        <f t="shared" si="7"/>
        <v>2.94</v>
      </c>
      <c r="L16" s="2">
        <v>3.33</v>
      </c>
      <c r="M16" s="2">
        <f t="shared" si="3"/>
        <v>492</v>
      </c>
      <c r="N16" s="2">
        <v>320.55</v>
      </c>
      <c r="O16" s="2">
        <v>639</v>
      </c>
      <c r="P16" s="2">
        <v>147</v>
      </c>
      <c r="Q16" s="2">
        <v>0</v>
      </c>
    </row>
    <row r="17" spans="1:17">
      <c r="A17" s="2">
        <v>2019.5</v>
      </c>
      <c r="B17" s="6">
        <v>5997000000</v>
      </c>
      <c r="C17" s="4">
        <v>328000000</v>
      </c>
      <c r="D17" s="2">
        <f t="shared" si="6"/>
        <v>5.47</v>
      </c>
      <c r="E17" s="4">
        <v>245000000</v>
      </c>
      <c r="F17" s="4">
        <v>171000000</v>
      </c>
      <c r="G17" s="2">
        <f t="shared" si="1"/>
        <v>2.85</v>
      </c>
      <c r="H17" s="2">
        <v>8.1</v>
      </c>
      <c r="I17" s="4">
        <v>6378000000</v>
      </c>
      <c r="J17" s="4">
        <v>385000000</v>
      </c>
      <c r="K17" s="2">
        <f t="shared" si="7"/>
        <v>6.04</v>
      </c>
      <c r="L17" s="2">
        <v>3.33</v>
      </c>
      <c r="M17" s="2">
        <f t="shared" si="3"/>
        <v>552</v>
      </c>
      <c r="N17" s="2">
        <v>231.12</v>
      </c>
      <c r="O17" s="2">
        <v>579</v>
      </c>
      <c r="P17" s="2">
        <v>27</v>
      </c>
      <c r="Q17" s="2">
        <v>0</v>
      </c>
    </row>
    <row r="18" spans="1:17">
      <c r="A18" s="2">
        <v>2020.5</v>
      </c>
      <c r="B18" s="6">
        <v>5921000000</v>
      </c>
      <c r="C18" s="4">
        <v>486000000</v>
      </c>
      <c r="D18" s="2">
        <f t="shared" si="6"/>
        <v>8.2100000000000009</v>
      </c>
      <c r="E18" s="4">
        <v>398000000</v>
      </c>
      <c r="F18" s="4">
        <v>317000000</v>
      </c>
      <c r="G18" s="2">
        <f t="shared" si="1"/>
        <v>5.35</v>
      </c>
      <c r="H18" s="2">
        <v>15.1</v>
      </c>
      <c r="I18" s="4">
        <v>6442000000</v>
      </c>
      <c r="J18" s="4">
        <v>1764000000</v>
      </c>
      <c r="K18" s="2">
        <f t="shared" si="7"/>
        <v>27.38</v>
      </c>
      <c r="L18" s="2">
        <v>2.75</v>
      </c>
      <c r="M18" s="2">
        <f t="shared" si="3"/>
        <v>1254</v>
      </c>
      <c r="N18" s="2">
        <v>183.71</v>
      </c>
      <c r="O18" s="2">
        <v>1332</v>
      </c>
      <c r="P18" s="2">
        <v>78</v>
      </c>
      <c r="Q18" s="2">
        <v>0</v>
      </c>
    </row>
    <row r="19" spans="1:17">
      <c r="A19" s="2">
        <v>2021.5</v>
      </c>
      <c r="B19" s="6">
        <v>7101000000</v>
      </c>
      <c r="C19" s="4">
        <v>747000000</v>
      </c>
      <c r="D19" s="2">
        <f t="shared" si="6"/>
        <v>10.52</v>
      </c>
      <c r="E19" s="4">
        <v>677000000</v>
      </c>
      <c r="F19" s="4">
        <v>556000000</v>
      </c>
      <c r="G19" s="2">
        <f t="shared" si="1"/>
        <v>7.83</v>
      </c>
      <c r="H19" s="2">
        <v>26.4</v>
      </c>
      <c r="I19" s="4">
        <v>6811000000</v>
      </c>
      <c r="J19" s="4">
        <v>1516000000</v>
      </c>
      <c r="K19" s="2">
        <f t="shared" si="7"/>
        <v>22.26</v>
      </c>
      <c r="L19" s="2">
        <v>3.8</v>
      </c>
      <c r="M19" s="2">
        <f t="shared" si="3"/>
        <v>899</v>
      </c>
      <c r="N19" s="2">
        <v>319.12</v>
      </c>
      <c r="O19" s="2">
        <v>1019</v>
      </c>
      <c r="P19" s="2">
        <v>120</v>
      </c>
      <c r="Q19" s="2">
        <v>0</v>
      </c>
    </row>
    <row r="20" spans="1:17">
      <c r="A20" s="2">
        <v>2022.5</v>
      </c>
      <c r="B20" s="6">
        <v>6809000000</v>
      </c>
      <c r="C20" s="4">
        <v>531000000</v>
      </c>
      <c r="D20" s="2">
        <f t="shared" si="6"/>
        <v>7.8</v>
      </c>
      <c r="E20" s="4">
        <v>474000000</v>
      </c>
      <c r="F20" s="4">
        <v>373000000</v>
      </c>
      <c r="G20" s="2">
        <f t="shared" si="1"/>
        <v>5.48</v>
      </c>
      <c r="H20" s="2">
        <v>18.600000000000001</v>
      </c>
      <c r="I20" s="4">
        <v>6771000000</v>
      </c>
      <c r="J20" s="4">
        <v>479000000</v>
      </c>
      <c r="K20" s="2">
        <f t="shared" si="7"/>
        <v>7.07</v>
      </c>
      <c r="L20" s="2">
        <v>3.8</v>
      </c>
      <c r="M20" s="2">
        <f t="shared" si="3"/>
        <v>297</v>
      </c>
      <c r="N20" s="2">
        <v>279.77999999999997</v>
      </c>
      <c r="O20" s="2">
        <v>475</v>
      </c>
      <c r="P20" s="2">
        <v>178</v>
      </c>
      <c r="Q20" s="2">
        <v>0</v>
      </c>
    </row>
    <row r="21" spans="1:17">
      <c r="A21" s="2">
        <v>2023.5</v>
      </c>
      <c r="B21" s="6">
        <v>6880000000</v>
      </c>
      <c r="C21" s="4">
        <v>367000000</v>
      </c>
      <c r="D21" s="2">
        <f t="shared" si="6"/>
        <v>5.33</v>
      </c>
      <c r="E21" s="4">
        <v>317000000</v>
      </c>
      <c r="F21" s="4">
        <v>237000000</v>
      </c>
      <c r="G21" s="2">
        <f t="shared" si="1"/>
        <v>3.44</v>
      </c>
      <c r="H21" s="2">
        <v>12.4</v>
      </c>
      <c r="I21" s="4">
        <v>6588000000</v>
      </c>
      <c r="J21" s="4">
        <v>317000000</v>
      </c>
      <c r="K21" s="2">
        <f t="shared" si="7"/>
        <v>4.8099999999999996</v>
      </c>
      <c r="L21" s="2">
        <v>3.8</v>
      </c>
      <c r="M21" s="2">
        <f t="shared" si="3"/>
        <v>577</v>
      </c>
      <c r="N21" s="2">
        <v>257.89999999999998</v>
      </c>
      <c r="O21" s="2">
        <v>728</v>
      </c>
      <c r="P21" s="2">
        <v>151</v>
      </c>
      <c r="Q21" s="2">
        <v>0</v>
      </c>
    </row>
    <row r="22" spans="1:17">
      <c r="A22" s="2">
        <v>2024.5</v>
      </c>
      <c r="B22" s="6">
        <v>6756000000</v>
      </c>
      <c r="C22" s="4">
        <v>374000000</v>
      </c>
      <c r="D22" s="2">
        <f t="shared" si="6"/>
        <v>5.54</v>
      </c>
      <c r="E22" s="4">
        <v>324000000</v>
      </c>
      <c r="F22" s="4">
        <v>237000000</v>
      </c>
      <c r="G22" s="2">
        <f t="shared" si="1"/>
        <v>3.51</v>
      </c>
      <c r="H22" s="2">
        <v>12.8</v>
      </c>
      <c r="I22" s="4">
        <v>6584000000</v>
      </c>
      <c r="J22" s="4">
        <v>472000000</v>
      </c>
      <c r="K22" s="2">
        <f t="shared" si="7"/>
        <v>7.17</v>
      </c>
      <c r="L22" s="2">
        <v>3.8</v>
      </c>
      <c r="M22" s="2">
        <f t="shared" si="3"/>
        <v>666</v>
      </c>
      <c r="N22" s="2">
        <v>239.59</v>
      </c>
      <c r="O22" s="2">
        <v>810</v>
      </c>
      <c r="P22" s="2">
        <v>144</v>
      </c>
      <c r="Q22" s="2">
        <v>0</v>
      </c>
    </row>
    <row r="34" spans="1:1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Marks &amp; Spencer</vt:lpstr>
      <vt:lpstr>JD sports</vt:lpstr>
      <vt:lpstr>Associated British Foods</vt:lpstr>
      <vt:lpstr>Next</vt:lpstr>
      <vt:lpstr>Ocado</vt:lpstr>
      <vt:lpstr>SaintBury's</vt:lpstr>
      <vt:lpstr>Tesco</vt:lpstr>
      <vt:lpstr>King Fisher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SeyedEhsan HosseinyNezhad</cp:lastModifiedBy>
  <dcterms:created xsi:type="dcterms:W3CDTF">2025-07-01T21:32:28Z</dcterms:created>
  <dcterms:modified xsi:type="dcterms:W3CDTF">2025-07-16T17:13:35Z</dcterms:modified>
</cp:coreProperties>
</file>